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martinez/Downloads/"/>
    </mc:Choice>
  </mc:AlternateContent>
  <xr:revisionPtr revIDLastSave="427" documentId="13_ncr:1_{DD474723-733B-544F-9CDA-364322B9273B}" xr6:coauthVersionLast="47" xr6:coauthVersionMax="47" xr10:uidLastSave="{944CA4AD-B57B-4EC6-8E6F-1902A22A234B}"/>
  <bookViews>
    <workbookView xWindow="6360" yWindow="500" windowWidth="22440" windowHeight="16140" firstSheet="4" activeTab="2" xr2:uid="{00000000-000D-0000-FFFF-FFFF00000000}"/>
  </bookViews>
  <sheets>
    <sheet name="Primer Modelo" sheetId="1" r:id="rId1"/>
    <sheet name="Hoja1" sheetId="7" r:id="rId2"/>
    <sheet name="Segundo Modelo" sheetId="2" r:id="rId3"/>
    <sheet name="RegLogistica" sheetId="5" r:id="rId4"/>
    <sheet name="RegoLogistica2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1" l="1"/>
  <c r="P16" i="1" s="1"/>
  <c r="P17" i="1" s="1"/>
  <c r="U5" i="1"/>
  <c r="T5" i="1"/>
  <c r="U4" i="1"/>
  <c r="T4" i="1"/>
  <c r="U3" i="1"/>
  <c r="T3" i="1"/>
  <c r="U2" i="1"/>
  <c r="T2" i="1"/>
  <c r="S5" i="1"/>
  <c r="S4" i="1"/>
  <c r="S3" i="1"/>
  <c r="S2" i="1"/>
  <c r="R3" i="1"/>
  <c r="R4" i="1"/>
  <c r="R5" i="1"/>
  <c r="R2" i="1"/>
  <c r="Q3" i="1"/>
  <c r="Q5" i="1"/>
  <c r="Q4" i="1"/>
  <c r="Q2" i="1"/>
  <c r="P14" i="1"/>
  <c r="P13" i="1"/>
  <c r="P13" i="7"/>
  <c r="P12" i="1"/>
  <c r="Q11" i="1"/>
  <c r="P11" i="1"/>
  <c r="P10" i="1"/>
  <c r="K3" i="1"/>
  <c r="K4" i="1"/>
  <c r="K5" i="1"/>
  <c r="K6" i="1"/>
  <c r="K7" i="1"/>
  <c r="K8" i="1"/>
  <c r="K2" i="1"/>
  <c r="J3" i="1"/>
  <c r="J4" i="1"/>
  <c r="J5" i="1"/>
  <c r="J6" i="1"/>
  <c r="J7" i="1"/>
  <c r="J8" i="1"/>
  <c r="J2" i="1"/>
  <c r="P9" i="1"/>
  <c r="P8" i="1"/>
  <c r="H3" i="1"/>
  <c r="H4" i="1"/>
  <c r="H5" i="1"/>
  <c r="H6" i="1"/>
  <c r="H7" i="1"/>
  <c r="H8" i="1"/>
  <c r="H2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  <c r="P2" i="1" a="1"/>
  <c r="P2" i="1"/>
  <c r="B29" i="1" a="1"/>
  <c r="B29" i="1"/>
  <c r="B24" i="1" a="1"/>
  <c r="B24" i="1"/>
  <c r="B18" i="1" a="1"/>
  <c r="B18" i="1"/>
  <c r="B12" i="1" a="1"/>
  <c r="B12" i="1"/>
  <c r="P16" i="7"/>
  <c r="P17" i="7"/>
  <c r="P15" i="7"/>
  <c r="R14" i="7"/>
  <c r="P14" i="7"/>
  <c r="U3" i="7"/>
  <c r="U4" i="7"/>
  <c r="U5" i="7"/>
  <c r="T3" i="7"/>
  <c r="T4" i="7"/>
  <c r="T5" i="7"/>
  <c r="U2" i="7"/>
  <c r="T2" i="7"/>
  <c r="S5" i="7"/>
  <c r="S4" i="7"/>
  <c r="S3" i="7"/>
  <c r="S2" i="7"/>
  <c r="R5" i="7"/>
  <c r="R3" i="7"/>
  <c r="R4" i="7"/>
  <c r="R2" i="7"/>
  <c r="Q5" i="7"/>
  <c r="Q4" i="7"/>
  <c r="Q3" i="7"/>
  <c r="Q2" i="7"/>
  <c r="P12" i="7"/>
  <c r="M10" i="7"/>
  <c r="P11" i="7"/>
  <c r="J3" i="7"/>
  <c r="J4" i="7"/>
  <c r="J5" i="7"/>
  <c r="J6" i="7"/>
  <c r="J7" i="7"/>
  <c r="J8" i="7"/>
  <c r="J2" i="7"/>
  <c r="K3" i="7"/>
  <c r="K4" i="7"/>
  <c r="K5" i="7"/>
  <c r="K6" i="7"/>
  <c r="K7" i="7"/>
  <c r="K8" i="7"/>
  <c r="K2" i="7"/>
  <c r="I3" i="7"/>
  <c r="I4" i="7"/>
  <c r="I5" i="7"/>
  <c r="I6" i="7"/>
  <c r="I7" i="7"/>
  <c r="I8" i="7"/>
  <c r="I2" i="7"/>
  <c r="P10" i="7"/>
  <c r="P9" i="7"/>
  <c r="P6" i="7"/>
  <c r="P8" i="7"/>
  <c r="H3" i="7"/>
  <c r="H4" i="7"/>
  <c r="H5" i="7"/>
  <c r="H6" i="7"/>
  <c r="H7" i="7"/>
  <c r="H8" i="7"/>
  <c r="H2" i="7"/>
  <c r="G3" i="7"/>
  <c r="G4" i="7"/>
  <c r="G5" i="7"/>
  <c r="G6" i="7"/>
  <c r="G7" i="7"/>
  <c r="G8" i="7"/>
  <c r="G2" i="7"/>
  <c r="F3" i="7"/>
  <c r="F4" i="7"/>
  <c r="F5" i="7"/>
  <c r="F6" i="7"/>
  <c r="F7" i="7"/>
  <c r="F8" i="7"/>
  <c r="F2" i="7"/>
  <c r="P2" i="7" a="1"/>
  <c r="P2" i="7"/>
  <c r="B29" i="7" a="1"/>
  <c r="B29" i="7"/>
  <c r="B24" i="7" a="1"/>
  <c r="B24" i="7"/>
  <c r="B18" i="7" a="1"/>
  <c r="B18" i="7"/>
  <c r="B12" i="7" a="1"/>
  <c r="B12" i="7"/>
  <c r="J2" i="6"/>
  <c r="P8" i="5"/>
  <c r="AI14" i="1"/>
  <c r="AI13" i="1"/>
  <c r="A9" i="1"/>
  <c r="F2" i="5"/>
  <c r="AE9" i="7"/>
  <c r="A9" i="7"/>
  <c r="AE8" i="7"/>
  <c r="AF8" i="7" s="1"/>
  <c r="AE6" i="7"/>
  <c r="C38" i="6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G46" i="6"/>
  <c r="G45" i="6" s="1"/>
  <c r="G44" i="6" s="1"/>
  <c r="G43" i="6" s="1"/>
  <c r="G42" i="6" s="1"/>
  <c r="G41" i="6" s="1"/>
  <c r="G40" i="6" s="1"/>
  <c r="G39" i="6" s="1"/>
  <c r="G38" i="6" s="1"/>
  <c r="G37" i="6" s="1"/>
  <c r="G48" i="6"/>
  <c r="D37" i="6"/>
  <c r="B12" i="6" a="1"/>
  <c r="B12" i="6" s="1"/>
  <c r="B18" i="6" s="1" a="1"/>
  <c r="B18" i="6" s="1"/>
  <c r="P6" i="6"/>
  <c r="J6" i="6" s="1"/>
  <c r="F3" i="5"/>
  <c r="F4" i="5"/>
  <c r="F5" i="5"/>
  <c r="F6" i="5"/>
  <c r="F7" i="5"/>
  <c r="F8" i="5"/>
  <c r="B12" i="5" a="1"/>
  <c r="B12" i="5" s="1"/>
  <c r="B18" i="5" s="1" a="1"/>
  <c r="B18" i="5" s="1"/>
  <c r="A9" i="5"/>
  <c r="P6" i="5"/>
  <c r="J2" i="5" s="1"/>
  <c r="P6" i="1"/>
  <c r="AE8" i="1"/>
  <c r="AE6" i="1"/>
  <c r="AE9" i="1"/>
  <c r="AF8" i="1"/>
  <c r="I18" i="7" l="1"/>
  <c r="G49" i="6"/>
  <c r="D38" i="6"/>
  <c r="J4" i="6"/>
  <c r="J5" i="6"/>
  <c r="J7" i="6"/>
  <c r="J3" i="6"/>
  <c r="J8" i="6"/>
  <c r="I18" i="6"/>
  <c r="B24" i="6" a="1"/>
  <c r="B24" i="5" a="1"/>
  <c r="B24" i="5" s="1"/>
  <c r="B29" i="5" s="1" a="1"/>
  <c r="B29" i="5" s="1"/>
  <c r="P2" i="5" s="1" a="1"/>
  <c r="I18" i="5"/>
  <c r="J5" i="5"/>
  <c r="J4" i="5"/>
  <c r="J8" i="5"/>
  <c r="J6" i="5"/>
  <c r="J7" i="5"/>
  <c r="J3" i="5"/>
  <c r="P11" i="5" s="1"/>
  <c r="P6" i="2"/>
  <c r="J2" i="2" s="1"/>
  <c r="B12" i="2" a="1"/>
  <c r="B12" i="2" s="1"/>
  <c r="B18" i="2" s="1" a="1"/>
  <c r="B18" i="2" s="1"/>
  <c r="J6" i="2"/>
  <c r="J5" i="2"/>
  <c r="J4" i="2"/>
  <c r="J3" i="2"/>
  <c r="I18" i="2" l="1"/>
  <c r="B24" i="2" a="1"/>
  <c r="B24" i="2" s="1"/>
  <c r="G50" i="6"/>
  <c r="D39" i="6"/>
  <c r="P11" i="6"/>
  <c r="B24" i="6"/>
  <c r="B29" i="6" s="1" a="1"/>
  <c r="B29" i="6" s="1"/>
  <c r="P2" i="6" s="1" a="1"/>
  <c r="P2" i="5"/>
  <c r="B29" i="2" a="1"/>
  <c r="B29" i="2" s="1"/>
  <c r="P2" i="2" s="1" a="1"/>
  <c r="J8" i="2"/>
  <c r="J7" i="2"/>
  <c r="P11" i="2" s="1"/>
  <c r="P2" i="2" l="1"/>
  <c r="G51" i="6"/>
  <c r="D40" i="6"/>
  <c r="P2" i="6"/>
  <c r="F5" i="2"/>
  <c r="F3" i="2"/>
  <c r="K3" i="2" s="1"/>
  <c r="I18" i="1"/>
  <c r="F8" i="2"/>
  <c r="F7" i="2"/>
  <c r="F6" i="2"/>
  <c r="F4" i="2"/>
  <c r="F6" i="6" l="1"/>
  <c r="F4" i="6"/>
  <c r="F3" i="6"/>
  <c r="F2" i="6"/>
  <c r="F8" i="6"/>
  <c r="F7" i="6"/>
  <c r="F5" i="6"/>
  <c r="F2" i="2"/>
  <c r="R11" i="7"/>
  <c r="E37" i="6"/>
  <c r="E38" i="6"/>
  <c r="E39" i="6"/>
  <c r="E40" i="6"/>
  <c r="H37" i="6"/>
  <c r="H38" i="6"/>
  <c r="H39" i="6"/>
  <c r="H40" i="6"/>
  <c r="H41" i="6"/>
  <c r="H42" i="6"/>
  <c r="H43" i="6"/>
  <c r="H44" i="6"/>
  <c r="H45" i="6"/>
  <c r="H46" i="6"/>
  <c r="H47" i="6"/>
  <c r="E36" i="6"/>
  <c r="H48" i="6"/>
  <c r="H49" i="6"/>
  <c r="H50" i="6"/>
  <c r="G52" i="6"/>
  <c r="H51" i="6"/>
  <c r="D41" i="6"/>
  <c r="E41" i="6" s="1"/>
  <c r="G2" i="5"/>
  <c r="K2" i="5"/>
  <c r="K3" i="5"/>
  <c r="G3" i="5"/>
  <c r="K7" i="5"/>
  <c r="G7" i="5"/>
  <c r="K8" i="5"/>
  <c r="G8" i="5"/>
  <c r="K4" i="5"/>
  <c r="G4" i="5"/>
  <c r="K6" i="5"/>
  <c r="G6" i="5"/>
  <c r="G5" i="5"/>
  <c r="K5" i="5"/>
  <c r="G3" i="2"/>
  <c r="K4" i="2"/>
  <c r="G4" i="2"/>
  <c r="K5" i="2"/>
  <c r="G5" i="2"/>
  <c r="K6" i="2"/>
  <c r="G6" i="2"/>
  <c r="K7" i="2"/>
  <c r="G7" i="2"/>
  <c r="H7" i="2" s="1"/>
  <c r="K8" i="2"/>
  <c r="G8" i="2"/>
  <c r="K2" i="2" l="1"/>
  <c r="P10" i="2" s="1"/>
  <c r="G2" i="2"/>
  <c r="H2" i="2" s="1"/>
  <c r="G53" i="6"/>
  <c r="H52" i="6"/>
  <c r="D42" i="6"/>
  <c r="E42" i="6" s="1"/>
  <c r="K2" i="6"/>
  <c r="G2" i="6"/>
  <c r="K6" i="6"/>
  <c r="G6" i="6"/>
  <c r="G8" i="6"/>
  <c r="K8" i="6"/>
  <c r="K7" i="6"/>
  <c r="G7" i="6"/>
  <c r="K4" i="6"/>
  <c r="G4" i="6"/>
  <c r="G5" i="6"/>
  <c r="K5" i="6"/>
  <c r="K3" i="6"/>
  <c r="G3" i="6"/>
  <c r="H8" i="5"/>
  <c r="I8" i="5"/>
  <c r="H7" i="5"/>
  <c r="I7" i="5" s="1"/>
  <c r="H6" i="5"/>
  <c r="I6" i="5" s="1"/>
  <c r="H4" i="5"/>
  <c r="I4" i="5"/>
  <c r="H5" i="5"/>
  <c r="I5" i="5" s="1"/>
  <c r="H3" i="5"/>
  <c r="I3" i="5" s="1"/>
  <c r="P10" i="5"/>
  <c r="P14" i="5" s="1"/>
  <c r="H2" i="5"/>
  <c r="G9" i="5"/>
  <c r="P14" i="2"/>
  <c r="H10" i="2"/>
  <c r="G10" i="2"/>
  <c r="G9" i="2"/>
  <c r="H8" i="2"/>
  <c r="I8" i="2" s="1"/>
  <c r="I7" i="2"/>
  <c r="H6" i="2"/>
  <c r="I6" i="2" s="1"/>
  <c r="H5" i="2"/>
  <c r="I5" i="2" s="1"/>
  <c r="H4" i="2"/>
  <c r="I4" i="2" s="1"/>
  <c r="H3" i="2"/>
  <c r="I3" i="2" s="1"/>
  <c r="P8" i="2" l="1"/>
  <c r="G54" i="6"/>
  <c r="H53" i="6"/>
  <c r="D43" i="6"/>
  <c r="E43" i="6" s="1"/>
  <c r="H5" i="6"/>
  <c r="I5" i="6" s="1"/>
  <c r="H3" i="6"/>
  <c r="I3" i="6" s="1"/>
  <c r="H8" i="6"/>
  <c r="I8" i="6" s="1"/>
  <c r="H4" i="6"/>
  <c r="I4" i="6" s="1"/>
  <c r="G10" i="6"/>
  <c r="G9" i="6"/>
  <c r="H2" i="6"/>
  <c r="H10" i="6"/>
  <c r="H7" i="6"/>
  <c r="I7" i="6" s="1"/>
  <c r="H6" i="6"/>
  <c r="I6" i="6"/>
  <c r="P10" i="6"/>
  <c r="I2" i="5"/>
  <c r="I2" i="2"/>
  <c r="G55" i="6" l="1"/>
  <c r="H54" i="6"/>
  <c r="D44" i="6"/>
  <c r="E44" i="6" s="1"/>
  <c r="I2" i="6"/>
  <c r="P8" i="6"/>
  <c r="P14" i="6"/>
  <c r="Q11" i="6"/>
  <c r="Q11" i="5"/>
  <c r="R14" i="5"/>
  <c r="P15" i="5" s="1"/>
  <c r="P16" i="5" s="1"/>
  <c r="P9" i="5"/>
  <c r="P12" i="5"/>
  <c r="Q11" i="2"/>
  <c r="P9" i="2"/>
  <c r="Q3" i="2" s="1"/>
  <c r="T3" i="2" s="1"/>
  <c r="P12" i="2"/>
  <c r="R14" i="2"/>
  <c r="P15" i="2" s="1"/>
  <c r="P13" i="2"/>
  <c r="Q5" i="2"/>
  <c r="Q4" i="2"/>
  <c r="T4" i="2" s="1"/>
  <c r="R3" i="2" l="1"/>
  <c r="S3" i="2" s="1"/>
  <c r="U3" i="2"/>
  <c r="Q2" i="2"/>
  <c r="T2" i="2" s="1"/>
  <c r="G56" i="6"/>
  <c r="H56" i="6" s="1"/>
  <c r="H55" i="6"/>
  <c r="D45" i="6"/>
  <c r="P12" i="6"/>
  <c r="P9" i="6"/>
  <c r="R14" i="6"/>
  <c r="P15" i="6" s="1"/>
  <c r="P16" i="6" s="1"/>
  <c r="P13" i="5"/>
  <c r="Q12" i="5" s="1"/>
  <c r="Q4" i="5"/>
  <c r="Q2" i="5"/>
  <c r="Q5" i="5"/>
  <c r="Q3" i="5"/>
  <c r="R2" i="2"/>
  <c r="S2" i="2" s="1"/>
  <c r="I27" i="2"/>
  <c r="I26" i="2"/>
  <c r="I25" i="2"/>
  <c r="I24" i="2"/>
  <c r="P16" i="2"/>
  <c r="R4" i="2"/>
  <c r="S4" i="2" s="1"/>
  <c r="U4" i="2"/>
  <c r="R5" i="2"/>
  <c r="S5" i="2" s="1"/>
  <c r="U5" i="2"/>
  <c r="T5" i="2"/>
  <c r="G9" i="1"/>
  <c r="D46" i="6" l="1"/>
  <c r="E45" i="6"/>
  <c r="U3" i="5"/>
  <c r="T3" i="5"/>
  <c r="U5" i="5"/>
  <c r="T5" i="5"/>
  <c r="U2" i="5"/>
  <c r="T2" i="5"/>
  <c r="U4" i="5"/>
  <c r="T4" i="5"/>
  <c r="U2" i="2"/>
  <c r="Q4" i="6"/>
  <c r="Q3" i="6"/>
  <c r="Q5" i="6"/>
  <c r="Q2" i="6"/>
  <c r="I24" i="6"/>
  <c r="I27" i="6"/>
  <c r="I26" i="6"/>
  <c r="I25" i="6"/>
  <c r="P13" i="6"/>
  <c r="Q12" i="6" s="1"/>
  <c r="R3" i="5"/>
  <c r="S3" i="5" s="1"/>
  <c r="R5" i="5"/>
  <c r="S5" i="5" s="1"/>
  <c r="R2" i="5"/>
  <c r="S2" i="5" s="1"/>
  <c r="R4" i="5"/>
  <c r="S4" i="5" s="1"/>
  <c r="R14" i="1"/>
  <c r="Q12" i="1"/>
  <c r="D47" i="6" l="1"/>
  <c r="E46" i="6"/>
  <c r="U2" i="6"/>
  <c r="T2" i="6"/>
  <c r="R2" i="6"/>
  <c r="S2" i="6" s="1"/>
  <c r="U5" i="6"/>
  <c r="T5" i="6"/>
  <c r="R5" i="6"/>
  <c r="S5" i="6" s="1"/>
  <c r="U3" i="6"/>
  <c r="T3" i="6"/>
  <c r="R3" i="6"/>
  <c r="S3" i="6" s="1"/>
  <c r="U4" i="6"/>
  <c r="T4" i="6"/>
  <c r="R4" i="6"/>
  <c r="S4" i="6" s="1"/>
  <c r="D48" i="6" l="1"/>
  <c r="E47" i="6"/>
  <c r="D49" i="6" l="1"/>
  <c r="E48" i="6"/>
  <c r="D50" i="6" l="1"/>
  <c r="E49" i="6"/>
  <c r="D51" i="6" l="1"/>
  <c r="E50" i="6"/>
  <c r="D52" i="6" l="1"/>
  <c r="E51" i="6"/>
  <c r="D53" i="6" l="1"/>
  <c r="E52" i="6"/>
  <c r="D54" i="6" l="1"/>
  <c r="E53" i="6"/>
  <c r="D55" i="6" l="1"/>
  <c r="E54" i="6"/>
  <c r="D56" i="6" l="1"/>
  <c r="E55" i="6"/>
  <c r="E56" i="6" l="1"/>
  <c r="D57" i="6"/>
  <c r="E57" i="6" l="1"/>
  <c r="D58" i="6"/>
  <c r="E58" i="6" l="1"/>
  <c r="D59" i="6"/>
  <c r="D60" i="6" l="1"/>
  <c r="E60" i="6" s="1"/>
  <c r="E59" i="6"/>
  <c r="D61" i="6"/>
  <c r="E61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David Bocanegra Vargas</author>
  </authors>
  <commentList>
    <comment ref="T11" authorId="0" shapeId="0" xr:uid="{8EFC6BC8-5FD3-473F-A1F9-BDDC1757834C}">
      <text>
        <r>
          <rPr>
            <sz val="11"/>
            <color theme="1"/>
            <rFont val="Calibri"/>
            <family val="2"/>
            <scheme val="minor"/>
          </rPr>
          <t xml:space="preserve">Juan David Bocanegra Vargas: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<sst xmlns="http://schemas.openxmlformats.org/spreadsheetml/2006/main" count="322" uniqueCount="87">
  <si>
    <t>Y</t>
  </si>
  <si>
    <t>Int</t>
  </si>
  <si>
    <t>X1</t>
  </si>
  <si>
    <t>X2</t>
  </si>
  <si>
    <t>X3</t>
  </si>
  <si>
    <t>Predicción</t>
  </si>
  <si>
    <t>Errores</t>
  </si>
  <si>
    <t>Errores2</t>
  </si>
  <si>
    <t>Errores3</t>
  </si>
  <si>
    <t>SST</t>
  </si>
  <si>
    <t>SSR</t>
  </si>
  <si>
    <t>Coeficientes</t>
  </si>
  <si>
    <t>Error estandar</t>
  </si>
  <si>
    <t>T estadistico</t>
  </si>
  <si>
    <t>P value</t>
  </si>
  <si>
    <t>Intervalo I</t>
  </si>
  <si>
    <t>Intervalo S</t>
  </si>
  <si>
    <t>Inf 99</t>
  </si>
  <si>
    <t>Sup 99</t>
  </si>
  <si>
    <t>B0</t>
  </si>
  <si>
    <t>B1</t>
  </si>
  <si>
    <t>B2</t>
  </si>
  <si>
    <t>Regression Statistics</t>
  </si>
  <si>
    <t>B3</t>
  </si>
  <si>
    <t>Multiple R</t>
  </si>
  <si>
    <t>Ybarra</t>
  </si>
  <si>
    <t>R Square</t>
  </si>
  <si>
    <t>Valor crítico</t>
  </si>
  <si>
    <t>Adjusted R Square</t>
  </si>
  <si>
    <t>SSE=</t>
  </si>
  <si>
    <t>Standard Error</t>
  </si>
  <si>
    <t>S^2=</t>
  </si>
  <si>
    <t>Observations</t>
  </si>
  <si>
    <t>ANOVA</t>
  </si>
  <si>
    <t>XT</t>
  </si>
  <si>
    <t>R2</t>
  </si>
  <si>
    <t> </t>
  </si>
  <si>
    <t>df (grados de libertad)</t>
  </si>
  <si>
    <t>SS</t>
  </si>
  <si>
    <t>MS</t>
  </si>
  <si>
    <t>F Estadistci Prueba</t>
  </si>
  <si>
    <t>Significance F</t>
  </si>
  <si>
    <t>R2 ajustado</t>
  </si>
  <si>
    <t>Regression</t>
  </si>
  <si>
    <t>p value</t>
  </si>
  <si>
    <t>MSR</t>
  </si>
  <si>
    <t>MSE</t>
  </si>
  <si>
    <t>Residual</t>
  </si>
  <si>
    <t>Varianza del modelo</t>
  </si>
  <si>
    <t>F estadístico</t>
  </si>
  <si>
    <t>Total</t>
  </si>
  <si>
    <t>F Critico</t>
  </si>
  <si>
    <t>Coefficients</t>
  </si>
  <si>
    <t>t Stat</t>
  </si>
  <si>
    <t>P-value</t>
  </si>
  <si>
    <t>Lower 95%</t>
  </si>
  <si>
    <t>Upper 95%</t>
  </si>
  <si>
    <t>Lower 99,0%</t>
  </si>
  <si>
    <t>Upper 99,0%</t>
  </si>
  <si>
    <t>XT*X</t>
  </si>
  <si>
    <t>Determinante</t>
  </si>
  <si>
    <t>Intercept</t>
  </si>
  <si>
    <t>Estadístico de prueba</t>
  </si>
  <si>
    <t>X Variable 1</t>
  </si>
  <si>
    <t>X Variable 2</t>
  </si>
  <si>
    <t>X Variable 3</t>
  </si>
  <si>
    <t>Parsimonia</t>
  </si>
  <si>
    <t>Deben ser lo más simples posible</t>
  </si>
  <si>
    <t>(XT*X)-1</t>
  </si>
  <si>
    <t>KISS</t>
  </si>
  <si>
    <t>Keep it simple</t>
  </si>
  <si>
    <t>(XT*X)-1*XT</t>
  </si>
  <si>
    <t>Errores__</t>
  </si>
  <si>
    <t>Predicciones</t>
  </si>
  <si>
    <t>Observaciones</t>
  </si>
  <si>
    <t>Sobreestimación</t>
  </si>
  <si>
    <t>Y Salarios</t>
  </si>
  <si>
    <t>X3 Dummies Genero</t>
  </si>
  <si>
    <t>Errores Residuales</t>
  </si>
  <si>
    <t>df</t>
  </si>
  <si>
    <t>F</t>
  </si>
  <si>
    <t>Varianza de cada estimador</t>
  </si>
  <si>
    <t xml:space="preserve">           </t>
  </si>
  <si>
    <t>Ivan quedese quieto</t>
  </si>
  <si>
    <t>Z estadistico</t>
  </si>
  <si>
    <t>X</t>
  </si>
  <si>
    <t>Probabilidad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</si>
</sst>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6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2" fillId="0" borderId="1" xfId="0" applyFont="1" applyBorder="1"/>
    <xf numFmtId="3" fontId="1" fillId="0" borderId="0" xfId="0" applyNumberFormat="1" applyFont="1"/>
    <xf numFmtId="0" fontId="1" fillId="0" borderId="2" xfId="0" applyFont="1" applyBorder="1"/>
    <xf numFmtId="0" fontId="1" fillId="0" borderId="0" xfId="0" quotePrefix="1" applyFont="1"/>
    <xf numFmtId="0" fontId="1" fillId="0" borderId="2" xfId="0" quotePrefix="1" applyFont="1" applyBorder="1"/>
    <xf numFmtId="3" fontId="1" fillId="0" borderId="2" xfId="0" applyNumberFormat="1" applyFont="1" applyBorder="1"/>
    <xf numFmtId="0" fontId="2" fillId="6" borderId="1" xfId="0" applyFont="1" applyFill="1" applyBorder="1"/>
    <xf numFmtId="0" fontId="3" fillId="0" borderId="0" xfId="0" applyFont="1"/>
    <xf numFmtId="0" fontId="0" fillId="7" borderId="0" xfId="0" applyFill="1"/>
    <xf numFmtId="0" fontId="0" fillId="8" borderId="0" xfId="0" applyFill="1"/>
    <xf numFmtId="0" fontId="4" fillId="0" borderId="0" xfId="0" applyFont="1"/>
    <xf numFmtId="0" fontId="3" fillId="9" borderId="0" xfId="0" applyFont="1" applyFill="1"/>
    <xf numFmtId="0" fontId="0" fillId="9" borderId="0" xfId="0" applyFill="1"/>
    <xf numFmtId="0" fontId="5" fillId="10" borderId="0" xfId="0" applyFont="1" applyFill="1"/>
    <xf numFmtId="0" fontId="5" fillId="11" borderId="0" xfId="0" applyFont="1" applyFill="1"/>
    <xf numFmtId="0" fontId="3" fillId="12" borderId="0" xfId="0" applyFont="1" applyFill="1"/>
    <xf numFmtId="0" fontId="1" fillId="7" borderId="0" xfId="0" applyFont="1" applyFill="1"/>
    <xf numFmtId="0" fontId="1" fillId="7" borderId="2" xfId="0" applyFont="1" applyFill="1" applyBorder="1"/>
    <xf numFmtId="0" fontId="1" fillId="13" borderId="0" xfId="0" applyFont="1" applyFill="1"/>
    <xf numFmtId="0" fontId="5" fillId="14" borderId="0" xfId="0" applyFont="1" applyFill="1"/>
    <xf numFmtId="0" fontId="0" fillId="15" borderId="0" xfId="0" applyFill="1"/>
    <xf numFmtId="164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center"/>
    </xf>
    <xf numFmtId="0" fontId="3" fillId="16" borderId="0" xfId="0" applyFont="1" applyFill="1"/>
    <xf numFmtId="0" fontId="0" fillId="16" borderId="0" xfId="0" applyFill="1"/>
    <xf numFmtId="0" fontId="0" fillId="17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X2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RegoLogistica2!$H$37:$H$56</c:f>
              <c:numCache>
                <c:formatCode>0.00</c:formatCode>
                <c:ptCount val="20"/>
                <c:pt idx="0">
                  <c:v>0.78437267119359788</c:v>
                </c:pt>
                <c:pt idx="1">
                  <c:v>0.76826175902071636</c:v>
                </c:pt>
                <c:pt idx="2">
                  <c:v>0.75132872388063532</c:v>
                </c:pt>
                <c:pt idx="3">
                  <c:v>0.73358745691631355</c:v>
                </c:pt>
                <c:pt idx="4">
                  <c:v>0.715060480214737</c:v>
                </c:pt>
                <c:pt idx="5">
                  <c:v>0.69577939982768211</c:v>
                </c:pt>
                <c:pt idx="6">
                  <c:v>0.67578518310702862</c:v>
                </c:pt>
                <c:pt idx="7">
                  <c:v>0.6551282290844338</c:v>
                </c:pt>
                <c:pt idx="8">
                  <c:v>0.63386820623538109</c:v>
                </c:pt>
                <c:pt idx="9">
                  <c:v>0.61207363996984177</c:v>
                </c:pt>
                <c:pt idx="10">
                  <c:v>0.58982124233307287</c:v>
                </c:pt>
                <c:pt idx="11">
                  <c:v>0.56719498818303404</c:v>
                </c:pt>
                <c:pt idx="12">
                  <c:v>0.54428495481047168</c:v>
                </c:pt>
                <c:pt idx="13">
                  <c:v>0.52118595468167261</c:v>
                </c:pt>
                <c:pt idx="14">
                  <c:v>0.49799600271482236</c:v>
                </c:pt>
                <c:pt idx="15">
                  <c:v>0.47481466926126203</c:v>
                </c:pt>
                <c:pt idx="16">
                  <c:v>0.45174137688913557</c:v>
                </c:pt>
                <c:pt idx="17">
                  <c:v>0.4288737025255191</c:v>
                </c:pt>
                <c:pt idx="18">
                  <c:v>0.40630574618186538</c:v>
                </c:pt>
                <c:pt idx="19">
                  <c:v>0.38412662339750286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2F-C14B-B1A0-8F8602164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2655232"/>
        <c:axId val="1453256272"/>
      </c:lineChart>
      <c:catAx>
        <c:axId val="1422655232"/>
        <c:scaling>
          <c:orientation val="minMax"/>
        </c:scaling>
        <c:delete val="0"/>
        <c:axPos val="b"/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256272"/>
        <c:crossesAt val="0"/>
        <c:auto val="1"/>
        <c:lblAlgn val="ctr"/>
        <c:lblOffset val="100"/>
        <c:tickLblSkip val="1"/>
        <c:noMultiLvlLbl val="0"/>
      </c:catAx>
      <c:valAx>
        <c:axId val="145325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65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RegoLogistica2!$E$36:$E$61</c:f>
              <c:numCache>
                <c:formatCode>0.00</c:formatCode>
                <c:ptCount val="26"/>
                <c:pt idx="0">
                  <c:v>0.52118595468167261</c:v>
                </c:pt>
                <c:pt idx="1">
                  <c:v>0.52989915490517359</c:v>
                </c:pt>
                <c:pt idx="2">
                  <c:v>0.53859416848287833</c:v>
                </c:pt>
                <c:pt idx="3">
                  <c:v>0.54726576263888793</c:v>
                </c:pt>
                <c:pt idx="4">
                  <c:v>0.5559087612461826</c:v>
                </c:pt>
                <c:pt idx="5">
                  <c:v>0.56451805703559021</c:v>
                </c:pt>
                <c:pt idx="6">
                  <c:v>0.57308862345434952</c:v>
                </c:pt>
                <c:pt idx="7">
                  <c:v>0.58161552611695566</c:v>
                </c:pt>
                <c:pt idx="8">
                  <c:v>0.59009393379448571</c:v>
                </c:pt>
                <c:pt idx="9">
                  <c:v>0.59851912889252235</c:v>
                </c:pt>
                <c:pt idx="10">
                  <c:v>0.6068865173720922</c:v>
                </c:pt>
                <c:pt idx="11">
                  <c:v>0.615191638072634</c:v>
                </c:pt>
                <c:pt idx="12">
                  <c:v>0.62343017140088386</c:v>
                </c:pt>
                <c:pt idx="13">
                  <c:v>0.63159794735461772</c:v>
                </c:pt>
                <c:pt idx="14">
                  <c:v>0.63969095285539246</c:v>
                </c:pt>
                <c:pt idx="15">
                  <c:v>0.64770533836970434</c:v>
                </c:pt>
                <c:pt idx="16">
                  <c:v>0.65563742380327472</c:v>
                </c:pt>
                <c:pt idx="17">
                  <c:v>0.66348370365843212</c:v>
                </c:pt>
                <c:pt idx="18">
                  <c:v>0.67124085144972223</c:v>
                </c:pt>
                <c:pt idx="19">
                  <c:v>0.67890572337790078</c:v>
                </c:pt>
                <c:pt idx="20">
                  <c:v>0.68647536126729158</c:v>
                </c:pt>
                <c:pt idx="21">
                  <c:v>0.69394699477609312</c:v>
                </c:pt>
                <c:pt idx="22">
                  <c:v>0.70131804289354716</c:v>
                </c:pt>
                <c:pt idx="23">
                  <c:v>0.70858611474190503</c:v>
                </c:pt>
                <c:pt idx="24">
                  <c:v>0.71574900970483302</c:v>
                </c:pt>
                <c:pt idx="25">
                  <c:v>0.71574900970483302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8771-4CCF-A696-B11519FBF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619200"/>
        <c:axId val="848052864"/>
      </c:lineChart>
      <c:catAx>
        <c:axId val="465619200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052864"/>
        <c:crosses val="autoZero"/>
        <c:auto val="1"/>
        <c:lblAlgn val="ctr"/>
        <c:lblOffset val="24"/>
        <c:tickLblSkip val="1"/>
        <c:noMultiLvlLbl val="0"/>
      </c:catAx>
      <c:valAx>
        <c:axId val="848052864"/>
        <c:scaling>
          <c:orientation val="minMax"/>
          <c:min val="0.5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61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RegoLogistica2!$F$2:$F$8</c:f>
              <c:numCache>
                <c:formatCode>General</c:formatCode>
                <c:ptCount val="7"/>
                <c:pt idx="0">
                  <c:v>0.69101306135313778</c:v>
                </c:pt>
                <c:pt idx="1">
                  <c:v>0.46910254505965554</c:v>
                </c:pt>
                <c:pt idx="2">
                  <c:v>0.48353551390138444</c:v>
                </c:pt>
                <c:pt idx="3">
                  <c:v>0.70822389747409331</c:v>
                </c:pt>
                <c:pt idx="4">
                  <c:v>0.53843853440935341</c:v>
                </c:pt>
                <c:pt idx="5">
                  <c:v>0.54726576263888793</c:v>
                </c:pt>
                <c:pt idx="6">
                  <c:v>0.7602970232955818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47-4231-A850-C9B0B331A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1805959"/>
        <c:axId val="1711811079"/>
      </c:lineChart>
      <c:catAx>
        <c:axId val="1711805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811079"/>
        <c:crosses val="autoZero"/>
        <c:auto val="1"/>
        <c:lblAlgn val="ctr"/>
        <c:lblOffset val="100"/>
        <c:noMultiLvlLbl val="0"/>
      </c:catAx>
      <c:valAx>
        <c:axId val="1711811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805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619125</xdr:colOff>
      <xdr:row>8</xdr:row>
      <xdr:rowOff>190500</xdr:rowOff>
    </xdr:from>
    <xdr:to>
      <xdr:col>26</xdr:col>
      <xdr:colOff>276225</xdr:colOff>
      <xdr:row>11</xdr:row>
      <xdr:rowOff>190500</xdr:rowOff>
    </xdr:to>
    <xdr:pic>
      <xdr:nvPicPr>
        <xdr:cNvPr id="2" name="Bild 1">
          <a:extLst>
            <a:ext uri="{FF2B5EF4-FFF2-40B4-BE49-F238E27FC236}">
              <a16:creationId xmlns:a16="http://schemas.microsoft.com/office/drawing/2014/main" id="{832EA78F-B13B-4202-B536-671C3BEB7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73075" y="1762125"/>
          <a:ext cx="5991225" cy="60007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22</xdr:row>
      <xdr:rowOff>9525</xdr:rowOff>
    </xdr:from>
    <xdr:to>
      <xdr:col>10</xdr:col>
      <xdr:colOff>304800</xdr:colOff>
      <xdr:row>27</xdr:row>
      <xdr:rowOff>19050</xdr:rowOff>
    </xdr:to>
    <xdr:pic>
      <xdr:nvPicPr>
        <xdr:cNvPr id="3" name="Bild 2">
          <a:extLst>
            <a:ext uri="{FF2B5EF4-FFF2-40B4-BE49-F238E27FC236}">
              <a16:creationId xmlns:a16="http://schemas.microsoft.com/office/drawing/2014/main" id="{D0526466-7C56-4975-9B79-6E2BA968B5B5}"/>
            </a:ext>
            <a:ext uri="{147F2762-F138-4A5C-976F-8EAC2B608ADB}">
              <a16:predDERef xmlns:a16="http://schemas.microsoft.com/office/drawing/2014/main" pred="{832EA78F-B13B-4202-B536-671C3BEB7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14775" y="4381500"/>
          <a:ext cx="3124200" cy="981075"/>
        </a:xfrm>
        <a:prstGeom prst="rect">
          <a:avLst/>
        </a:prstGeom>
      </xdr:spPr>
    </xdr:pic>
    <xdr:clientData/>
  </xdr:twoCellAnchor>
  <xdr:twoCellAnchor editAs="oneCell">
    <xdr:from>
      <xdr:col>11</xdr:col>
      <xdr:colOff>209550</xdr:colOff>
      <xdr:row>1</xdr:row>
      <xdr:rowOff>123825</xdr:rowOff>
    </xdr:from>
    <xdr:to>
      <xdr:col>13</xdr:col>
      <xdr:colOff>533400</xdr:colOff>
      <xdr:row>3</xdr:row>
      <xdr:rowOff>123825</xdr:rowOff>
    </xdr:to>
    <xdr:pic>
      <xdr:nvPicPr>
        <xdr:cNvPr id="4" name="Bild 3">
          <a:extLst>
            <a:ext uri="{FF2B5EF4-FFF2-40B4-BE49-F238E27FC236}">
              <a16:creationId xmlns:a16="http://schemas.microsoft.com/office/drawing/2014/main" id="{0AB0ED86-5D8F-4432-B3B2-66A83EFA36BA}"/>
            </a:ext>
            <a:ext uri="{147F2762-F138-4A5C-976F-8EAC2B608ADB}">
              <a16:predDERef xmlns:a16="http://schemas.microsoft.com/office/drawing/2014/main" pred="{D0526466-7C56-4975-9B79-6E2BA968B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91400" y="314325"/>
          <a:ext cx="1733550" cy="381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114300</xdr:colOff>
      <xdr:row>5</xdr:row>
      <xdr:rowOff>133350</xdr:rowOff>
    </xdr:from>
    <xdr:to>
      <xdr:col>26</xdr:col>
      <xdr:colOff>285750</xdr:colOff>
      <xdr:row>8</xdr:row>
      <xdr:rowOff>19050</xdr:rowOff>
    </xdr:to>
    <xdr:pic>
      <xdr:nvPicPr>
        <xdr:cNvPr id="5" name="Bild 4">
          <a:extLst>
            <a:ext uri="{FF2B5EF4-FFF2-40B4-BE49-F238E27FC236}">
              <a16:creationId xmlns:a16="http://schemas.microsoft.com/office/drawing/2014/main" id="{F22452C8-3A68-48C7-BCCE-0EE728590A1E}"/>
            </a:ext>
            <a:ext uri="{147F2762-F138-4A5C-976F-8EAC2B608ADB}">
              <a16:predDERef xmlns:a16="http://schemas.microsoft.com/office/drawing/2014/main" pred="{0AB0ED86-5D8F-4432-B3B2-66A83EFA3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563975" y="1104900"/>
          <a:ext cx="2609850" cy="485775"/>
        </a:xfrm>
        <a:prstGeom prst="rect">
          <a:avLst/>
        </a:prstGeom>
      </xdr:spPr>
    </xdr:pic>
    <xdr:clientData/>
  </xdr:twoCellAnchor>
  <xdr:twoCellAnchor editAs="oneCell">
    <xdr:from>
      <xdr:col>17</xdr:col>
      <xdr:colOff>695325</xdr:colOff>
      <xdr:row>5</xdr:row>
      <xdr:rowOff>66675</xdr:rowOff>
    </xdr:from>
    <xdr:to>
      <xdr:col>22</xdr:col>
      <xdr:colOff>228600</xdr:colOff>
      <xdr:row>8</xdr:row>
      <xdr:rowOff>180975</xdr:rowOff>
    </xdr:to>
    <xdr:pic>
      <xdr:nvPicPr>
        <xdr:cNvPr id="6" name="Bild 5">
          <a:extLst>
            <a:ext uri="{FF2B5EF4-FFF2-40B4-BE49-F238E27FC236}">
              <a16:creationId xmlns:a16="http://schemas.microsoft.com/office/drawing/2014/main" id="{A475EDD4-CBDB-4300-B223-42851D027A09}"/>
            </a:ext>
            <a:ext uri="{147F2762-F138-4A5C-976F-8EAC2B608ADB}">
              <a16:predDERef xmlns:a16="http://schemas.microsoft.com/office/drawing/2014/main" pred="{F22452C8-3A68-48C7-BCCE-0EE728590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58725" y="1038225"/>
          <a:ext cx="3438525" cy="714375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</xdr:colOff>
      <xdr:row>18</xdr:row>
      <xdr:rowOff>9525</xdr:rowOff>
    </xdr:from>
    <xdr:to>
      <xdr:col>19</xdr:col>
      <xdr:colOff>361950</xdr:colOff>
      <xdr:row>25</xdr:row>
      <xdr:rowOff>9525</xdr:rowOff>
    </xdr:to>
    <xdr:pic>
      <xdr:nvPicPr>
        <xdr:cNvPr id="8" name="Bild 7">
          <a:extLst>
            <a:ext uri="{FF2B5EF4-FFF2-40B4-BE49-F238E27FC236}">
              <a16:creationId xmlns:a16="http://schemas.microsoft.com/office/drawing/2014/main" id="{5A911BB5-436A-42A4-B81B-589B40F16C4D}"/>
            </a:ext>
            <a:ext uri="{147F2762-F138-4A5C-976F-8EAC2B608ADB}">
              <a16:predDERef xmlns:a16="http://schemas.microsoft.com/office/drawing/2014/main" pred="{A475EDD4-CBDB-4300-B223-42851D027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10675" y="3581400"/>
          <a:ext cx="4572000" cy="1381125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</xdr:colOff>
      <xdr:row>27</xdr:row>
      <xdr:rowOff>9525</xdr:rowOff>
    </xdr:from>
    <xdr:to>
      <xdr:col>19</xdr:col>
      <xdr:colOff>352425</xdr:colOff>
      <xdr:row>31</xdr:row>
      <xdr:rowOff>104775</xdr:rowOff>
    </xdr:to>
    <xdr:pic>
      <xdr:nvPicPr>
        <xdr:cNvPr id="9" name="Bild 8">
          <a:extLst>
            <a:ext uri="{FF2B5EF4-FFF2-40B4-BE49-F238E27FC236}">
              <a16:creationId xmlns:a16="http://schemas.microsoft.com/office/drawing/2014/main" id="{FA34BA07-7BF0-45B8-A724-A79AA3FBABDC}"/>
            </a:ext>
            <a:ext uri="{147F2762-F138-4A5C-976F-8EAC2B608ADB}">
              <a16:predDERef xmlns:a16="http://schemas.microsoft.com/office/drawing/2014/main" pred="{5A911BB5-436A-42A4-B81B-589B40F16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10675" y="5353050"/>
          <a:ext cx="4562475" cy="895350"/>
        </a:xfrm>
        <a:prstGeom prst="rect">
          <a:avLst/>
        </a:prstGeom>
      </xdr:spPr>
    </xdr:pic>
    <xdr:clientData/>
  </xdr:twoCellAnchor>
  <xdr:twoCellAnchor editAs="oneCell">
    <xdr:from>
      <xdr:col>19</xdr:col>
      <xdr:colOff>552450</xdr:colOff>
      <xdr:row>19</xdr:row>
      <xdr:rowOff>95250</xdr:rowOff>
    </xdr:from>
    <xdr:to>
      <xdr:col>24</xdr:col>
      <xdr:colOff>323850</xdr:colOff>
      <xdr:row>23</xdr:row>
      <xdr:rowOff>19050</xdr:rowOff>
    </xdr:to>
    <xdr:pic>
      <xdr:nvPicPr>
        <xdr:cNvPr id="10" name="Bild 9">
          <a:extLst>
            <a:ext uri="{FF2B5EF4-FFF2-40B4-BE49-F238E27FC236}">
              <a16:creationId xmlns:a16="http://schemas.microsoft.com/office/drawing/2014/main" id="{EDB1BB0D-4839-49AE-8A18-1258508147F4}"/>
            </a:ext>
            <a:ext uri="{147F2762-F138-4A5C-976F-8EAC2B608ADB}">
              <a16:predDERef xmlns:a16="http://schemas.microsoft.com/office/drawing/2014/main" pred="{FA34BA07-7BF0-45B8-A724-A79AA3FBA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706600" y="3867150"/>
          <a:ext cx="3286125" cy="723900"/>
        </a:xfrm>
        <a:prstGeom prst="rect">
          <a:avLst/>
        </a:prstGeom>
      </xdr:spPr>
    </xdr:pic>
    <xdr:clientData/>
  </xdr:twoCellAnchor>
  <xdr:twoCellAnchor>
    <xdr:from>
      <xdr:col>10</xdr:col>
      <xdr:colOff>180975</xdr:colOff>
      <xdr:row>13</xdr:row>
      <xdr:rowOff>152400</xdr:rowOff>
    </xdr:from>
    <xdr:to>
      <xdr:col>13</xdr:col>
      <xdr:colOff>161925</xdr:colOff>
      <xdr:row>19</xdr:row>
      <xdr:rowOff>114300</xdr:rowOff>
    </xdr:to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132CA80D-D51F-44E0-9409-F1F2CC5E251A}"/>
            </a:ext>
            <a:ext uri="{147F2762-F138-4A5C-976F-8EAC2B608ADB}">
              <a16:predDERef xmlns:a16="http://schemas.microsoft.com/office/drawing/2014/main" pred="{EDB1BB0D-4839-49AE-8A18-1258508147F4}"/>
            </a:ext>
          </a:extLst>
        </xdr:cNvPr>
        <xdr:cNvSpPr txBox="1"/>
      </xdr:nvSpPr>
      <xdr:spPr>
        <a:xfrm>
          <a:off x="6743700" y="2724150"/>
          <a:ext cx="2000250" cy="1162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y=68+0.72*x1-0.44*x2-0.69*x3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190500</xdr:colOff>
      <xdr:row>9</xdr:row>
      <xdr:rowOff>19050</xdr:rowOff>
    </xdr:from>
    <xdr:to>
      <xdr:col>26</xdr:col>
      <xdr:colOff>333375</xdr:colOff>
      <xdr:row>12</xdr:row>
      <xdr:rowOff>19050</xdr:rowOff>
    </xdr:to>
    <xdr:pic>
      <xdr:nvPicPr>
        <xdr:cNvPr id="2" name="Bild 1">
          <a:extLst>
            <a:ext uri="{FF2B5EF4-FFF2-40B4-BE49-F238E27FC236}">
              <a16:creationId xmlns:a16="http://schemas.microsoft.com/office/drawing/2014/main" id="{FF4A070A-8448-4CB9-ADE0-D0A14B6F0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06425" y="1790700"/>
          <a:ext cx="5676900" cy="600075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21</xdr:row>
      <xdr:rowOff>152400</xdr:rowOff>
    </xdr:from>
    <xdr:to>
      <xdr:col>10</xdr:col>
      <xdr:colOff>314325</xdr:colOff>
      <xdr:row>26</xdr:row>
      <xdr:rowOff>161925</xdr:rowOff>
    </xdr:to>
    <xdr:pic>
      <xdr:nvPicPr>
        <xdr:cNvPr id="15" name="Bild 2">
          <a:extLst>
            <a:ext uri="{FF2B5EF4-FFF2-40B4-BE49-F238E27FC236}">
              <a16:creationId xmlns:a16="http://schemas.microsoft.com/office/drawing/2014/main" id="{E0605038-2BE1-4B9B-AF46-D9CB11F56FD2}"/>
            </a:ext>
            <a:ext uri="{147F2762-F138-4A5C-976F-8EAC2B608ADB}">
              <a16:predDERef xmlns:a16="http://schemas.microsoft.com/office/drawing/2014/main" pred="{FF4A070A-8448-4CB9-ADE0-D0A14B6F0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24300" y="4324350"/>
          <a:ext cx="3105150" cy="981075"/>
        </a:xfrm>
        <a:prstGeom prst="rect">
          <a:avLst/>
        </a:prstGeom>
      </xdr:spPr>
    </xdr:pic>
    <xdr:clientData/>
  </xdr:twoCellAnchor>
  <xdr:twoCellAnchor editAs="oneCell">
    <xdr:from>
      <xdr:col>11</xdr:col>
      <xdr:colOff>209550</xdr:colOff>
      <xdr:row>1</xdr:row>
      <xdr:rowOff>123825</xdr:rowOff>
    </xdr:from>
    <xdr:to>
      <xdr:col>13</xdr:col>
      <xdr:colOff>533400</xdr:colOff>
      <xdr:row>3</xdr:row>
      <xdr:rowOff>123825</xdr:rowOff>
    </xdr:to>
    <xdr:pic>
      <xdr:nvPicPr>
        <xdr:cNvPr id="4" name="Bild 3">
          <a:extLst>
            <a:ext uri="{FF2B5EF4-FFF2-40B4-BE49-F238E27FC236}">
              <a16:creationId xmlns:a16="http://schemas.microsoft.com/office/drawing/2014/main" id="{749FE476-C667-4666-A3C7-787FF36F40F5}"/>
            </a:ext>
            <a:ext uri="{147F2762-F138-4A5C-976F-8EAC2B608ADB}">
              <a16:predDERef xmlns:a16="http://schemas.microsoft.com/office/drawing/2014/main" pred="{E0605038-2BE1-4B9B-AF46-D9CB11F56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34275" y="314325"/>
          <a:ext cx="1733550" cy="381000"/>
        </a:xfrm>
        <a:prstGeom prst="rect">
          <a:avLst/>
        </a:prstGeom>
      </xdr:spPr>
    </xdr:pic>
    <xdr:clientData/>
  </xdr:twoCellAnchor>
  <xdr:twoCellAnchor editAs="oneCell">
    <xdr:from>
      <xdr:col>22</xdr:col>
      <xdr:colOff>438150</xdr:colOff>
      <xdr:row>0</xdr:row>
      <xdr:rowOff>104775</xdr:rowOff>
    </xdr:from>
    <xdr:to>
      <xdr:col>27</xdr:col>
      <xdr:colOff>0</xdr:colOff>
      <xdr:row>3</xdr:row>
      <xdr:rowOff>19050</xdr:rowOff>
    </xdr:to>
    <xdr:pic>
      <xdr:nvPicPr>
        <xdr:cNvPr id="5" name="Bild 4">
          <a:extLst>
            <a:ext uri="{FF2B5EF4-FFF2-40B4-BE49-F238E27FC236}">
              <a16:creationId xmlns:a16="http://schemas.microsoft.com/office/drawing/2014/main" id="{F3BDD330-EE10-42A9-84B3-7FB031B3609D}"/>
            </a:ext>
            <a:ext uri="{147F2762-F138-4A5C-976F-8EAC2B608ADB}">
              <a16:predDERef xmlns:a16="http://schemas.microsoft.com/office/drawing/2014/main" pred="{749FE476-C667-4666-A3C7-787FF36F4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104775"/>
          <a:ext cx="2609850" cy="485775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5</xdr:row>
      <xdr:rowOff>57150</xdr:rowOff>
    </xdr:from>
    <xdr:to>
      <xdr:col>22</xdr:col>
      <xdr:colOff>485775</xdr:colOff>
      <xdr:row>8</xdr:row>
      <xdr:rowOff>171450</xdr:rowOff>
    </xdr:to>
    <xdr:pic>
      <xdr:nvPicPr>
        <xdr:cNvPr id="3" name="Bild 5">
          <a:extLst>
            <a:ext uri="{FF2B5EF4-FFF2-40B4-BE49-F238E27FC236}">
              <a16:creationId xmlns:a16="http://schemas.microsoft.com/office/drawing/2014/main" id="{C0760D97-97B9-467C-B438-32181D6F1D8A}"/>
            </a:ext>
            <a:ext uri="{147F2762-F138-4A5C-976F-8EAC2B608ADB}">
              <a16:predDERef xmlns:a16="http://schemas.microsoft.com/office/drawing/2014/main" pred="{F3BDD330-EE10-42A9-84B3-7FB031B36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06375" y="1028700"/>
          <a:ext cx="3429000" cy="714375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18</xdr:row>
      <xdr:rowOff>28575</xdr:rowOff>
    </xdr:from>
    <xdr:to>
      <xdr:col>19</xdr:col>
      <xdr:colOff>371475</xdr:colOff>
      <xdr:row>25</xdr:row>
      <xdr:rowOff>28575</xdr:rowOff>
    </xdr:to>
    <xdr:pic>
      <xdr:nvPicPr>
        <xdr:cNvPr id="16" name="Bild 7">
          <a:extLst>
            <a:ext uri="{FF2B5EF4-FFF2-40B4-BE49-F238E27FC236}">
              <a16:creationId xmlns:a16="http://schemas.microsoft.com/office/drawing/2014/main" id="{9EBD2737-CB5E-488E-AA9C-2822E887FF3B}"/>
            </a:ext>
            <a:ext uri="{147F2762-F138-4A5C-976F-8EAC2B608ADB}">
              <a16:predDERef xmlns:a16="http://schemas.microsoft.com/office/drawing/2014/main" pred="{C0760D97-97B9-467C-B438-32181D6F1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63075" y="3600450"/>
          <a:ext cx="4562475" cy="1381125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</xdr:colOff>
      <xdr:row>27</xdr:row>
      <xdr:rowOff>9525</xdr:rowOff>
    </xdr:from>
    <xdr:to>
      <xdr:col>19</xdr:col>
      <xdr:colOff>352425</xdr:colOff>
      <xdr:row>31</xdr:row>
      <xdr:rowOff>104775</xdr:rowOff>
    </xdr:to>
    <xdr:pic>
      <xdr:nvPicPr>
        <xdr:cNvPr id="8" name="Bild 8">
          <a:extLst>
            <a:ext uri="{FF2B5EF4-FFF2-40B4-BE49-F238E27FC236}">
              <a16:creationId xmlns:a16="http://schemas.microsoft.com/office/drawing/2014/main" id="{15365B5F-3194-493D-9A36-2C1A718E1B69}"/>
            </a:ext>
            <a:ext uri="{147F2762-F138-4A5C-976F-8EAC2B608ADB}">
              <a16:predDERef xmlns:a16="http://schemas.microsoft.com/office/drawing/2014/main" pred="{9EBD2737-CB5E-488E-AA9C-2822E887F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53550" y="5353050"/>
          <a:ext cx="4552950" cy="895350"/>
        </a:xfrm>
        <a:prstGeom prst="rect">
          <a:avLst/>
        </a:prstGeom>
      </xdr:spPr>
    </xdr:pic>
    <xdr:clientData/>
  </xdr:twoCellAnchor>
  <xdr:twoCellAnchor editAs="oneCell">
    <xdr:from>
      <xdr:col>18</xdr:col>
      <xdr:colOff>723900</xdr:colOff>
      <xdr:row>13</xdr:row>
      <xdr:rowOff>152400</xdr:rowOff>
    </xdr:from>
    <xdr:to>
      <xdr:col>23</xdr:col>
      <xdr:colOff>304800</xdr:colOff>
      <xdr:row>17</xdr:row>
      <xdr:rowOff>76200</xdr:rowOff>
    </xdr:to>
    <xdr:pic>
      <xdr:nvPicPr>
        <xdr:cNvPr id="9" name="Bild 9">
          <a:extLst>
            <a:ext uri="{FF2B5EF4-FFF2-40B4-BE49-F238E27FC236}">
              <a16:creationId xmlns:a16="http://schemas.microsoft.com/office/drawing/2014/main" id="{EB08598D-4819-43E2-9C34-0331E7595B87}"/>
            </a:ext>
            <a:ext uri="{147F2762-F138-4A5C-976F-8EAC2B608ADB}">
              <a16:predDERef xmlns:a16="http://schemas.microsoft.com/office/drawing/2014/main" pred="{15365B5F-3194-493D-9A36-2C1A718E1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477875" y="2724150"/>
          <a:ext cx="3286125" cy="723900"/>
        </a:xfrm>
        <a:prstGeom prst="rect">
          <a:avLst/>
        </a:prstGeom>
      </xdr:spPr>
    </xdr:pic>
    <xdr:clientData/>
  </xdr:twoCellAnchor>
  <xdr:twoCellAnchor>
    <xdr:from>
      <xdr:col>10</xdr:col>
      <xdr:colOff>180975</xdr:colOff>
      <xdr:row>13</xdr:row>
      <xdr:rowOff>152400</xdr:rowOff>
    </xdr:from>
    <xdr:to>
      <xdr:col>13</xdr:col>
      <xdr:colOff>161925</xdr:colOff>
      <xdr:row>19</xdr:row>
      <xdr:rowOff>114300</xdr:rowOff>
    </xdr:to>
    <xdr:sp macro="" textlink="">
      <xdr:nvSpPr>
        <xdr:cNvPr id="10" name="Textfeld 6">
          <a:extLst>
            <a:ext uri="{FF2B5EF4-FFF2-40B4-BE49-F238E27FC236}">
              <a16:creationId xmlns:a16="http://schemas.microsoft.com/office/drawing/2014/main" id="{5A04CA6E-BB4B-435F-8E29-21739A924402}"/>
            </a:ext>
            <a:ext uri="{147F2762-F138-4A5C-976F-8EAC2B608ADB}">
              <a16:predDERef xmlns:a16="http://schemas.microsoft.com/office/drawing/2014/main" pred="{EB08598D-4819-43E2-9C34-0331E7595B87}"/>
            </a:ext>
          </a:extLst>
        </xdr:cNvPr>
        <xdr:cNvSpPr txBox="1"/>
      </xdr:nvSpPr>
      <xdr:spPr>
        <a:xfrm>
          <a:off x="6896100" y="2724150"/>
          <a:ext cx="2000250" cy="1162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y=68+0.72*x1-0.44*x2-0.69*x3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552450</xdr:colOff>
      <xdr:row>8</xdr:row>
      <xdr:rowOff>190500</xdr:rowOff>
    </xdr:from>
    <xdr:to>
      <xdr:col>24</xdr:col>
      <xdr:colOff>463550</xdr:colOff>
      <xdr:row>12</xdr:row>
      <xdr:rowOff>12700</xdr:rowOff>
    </xdr:to>
    <xdr:pic>
      <xdr:nvPicPr>
        <xdr:cNvPr id="2" name="Bild 1">
          <a:extLst>
            <a:ext uri="{FF2B5EF4-FFF2-40B4-BE49-F238E27FC236}">
              <a16:creationId xmlns:a16="http://schemas.microsoft.com/office/drawing/2014/main" id="{03387A4B-4036-1F48-9511-66217E82F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43050" y="1778000"/>
          <a:ext cx="6908800" cy="60960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22</xdr:row>
      <xdr:rowOff>9525</xdr:rowOff>
    </xdr:from>
    <xdr:to>
      <xdr:col>9</xdr:col>
      <xdr:colOff>495300</xdr:colOff>
      <xdr:row>27</xdr:row>
      <xdr:rowOff>31750</xdr:rowOff>
    </xdr:to>
    <xdr:pic>
      <xdr:nvPicPr>
        <xdr:cNvPr id="3" name="Bild 2">
          <a:extLst>
            <a:ext uri="{FF2B5EF4-FFF2-40B4-BE49-F238E27FC236}">
              <a16:creationId xmlns:a16="http://schemas.microsoft.com/office/drawing/2014/main" id="{9A9A5AA0-9FEA-1B41-8345-3A9A871200F8}"/>
            </a:ext>
            <a:ext uri="{147F2762-F138-4A5C-976F-8EAC2B608ADB}">
              <a16:predDERef xmlns:a16="http://schemas.microsoft.com/office/drawing/2014/main" pred="{832EA78F-B13B-4202-B536-671C3BEB7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9925" y="4441825"/>
          <a:ext cx="3521075" cy="987425"/>
        </a:xfrm>
        <a:prstGeom prst="rect">
          <a:avLst/>
        </a:prstGeom>
      </xdr:spPr>
    </xdr:pic>
    <xdr:clientData/>
  </xdr:twoCellAnchor>
  <xdr:twoCellAnchor editAs="oneCell">
    <xdr:from>
      <xdr:col>11</xdr:col>
      <xdr:colOff>209550</xdr:colOff>
      <xdr:row>1</xdr:row>
      <xdr:rowOff>123825</xdr:rowOff>
    </xdr:from>
    <xdr:to>
      <xdr:col>13</xdr:col>
      <xdr:colOff>279400</xdr:colOff>
      <xdr:row>3</xdr:row>
      <xdr:rowOff>111125</xdr:rowOff>
    </xdr:to>
    <xdr:pic>
      <xdr:nvPicPr>
        <xdr:cNvPr id="4" name="Bild 3">
          <a:extLst>
            <a:ext uri="{FF2B5EF4-FFF2-40B4-BE49-F238E27FC236}">
              <a16:creationId xmlns:a16="http://schemas.microsoft.com/office/drawing/2014/main" id="{659CD322-31E9-584F-B0A2-D4220D0D8B07}"/>
            </a:ext>
            <a:ext uri="{147F2762-F138-4A5C-976F-8EAC2B608ADB}">
              <a16:predDERef xmlns:a16="http://schemas.microsoft.com/office/drawing/2014/main" pred="{D0526466-7C56-4975-9B79-6E2BA968B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04250" y="314325"/>
          <a:ext cx="1936750" cy="381000"/>
        </a:xfrm>
        <a:prstGeom prst="rect">
          <a:avLst/>
        </a:prstGeom>
      </xdr:spPr>
    </xdr:pic>
    <xdr:clientData/>
  </xdr:twoCellAnchor>
  <xdr:twoCellAnchor editAs="oneCell">
    <xdr:from>
      <xdr:col>22</xdr:col>
      <xdr:colOff>438150</xdr:colOff>
      <xdr:row>0</xdr:row>
      <xdr:rowOff>104775</xdr:rowOff>
    </xdr:from>
    <xdr:to>
      <xdr:col>26</xdr:col>
      <xdr:colOff>190500</xdr:colOff>
      <xdr:row>3</xdr:row>
      <xdr:rowOff>6350</xdr:rowOff>
    </xdr:to>
    <xdr:pic>
      <xdr:nvPicPr>
        <xdr:cNvPr id="5" name="Bild 4">
          <a:extLst>
            <a:ext uri="{FF2B5EF4-FFF2-40B4-BE49-F238E27FC236}">
              <a16:creationId xmlns:a16="http://schemas.microsoft.com/office/drawing/2014/main" id="{B2F50B2B-5FE3-1046-9096-7A8E7D1DEC83}"/>
            </a:ext>
            <a:ext uri="{147F2762-F138-4A5C-976F-8EAC2B608ADB}">
              <a16:predDERef xmlns:a16="http://schemas.microsoft.com/office/drawing/2014/main" pred="{0AB0ED86-5D8F-4432-B3B2-66A83EFA3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586450" y="104775"/>
          <a:ext cx="3054350" cy="485775"/>
        </a:xfrm>
        <a:prstGeom prst="rect">
          <a:avLst/>
        </a:prstGeom>
      </xdr:spPr>
    </xdr:pic>
    <xdr:clientData/>
  </xdr:twoCellAnchor>
  <xdr:twoCellAnchor editAs="oneCell">
    <xdr:from>
      <xdr:col>17</xdr:col>
      <xdr:colOff>695325</xdr:colOff>
      <xdr:row>5</xdr:row>
      <xdr:rowOff>66675</xdr:rowOff>
    </xdr:from>
    <xdr:to>
      <xdr:col>21</xdr:col>
      <xdr:colOff>292100</xdr:colOff>
      <xdr:row>9</xdr:row>
      <xdr:rowOff>15875</xdr:rowOff>
    </xdr:to>
    <xdr:pic>
      <xdr:nvPicPr>
        <xdr:cNvPr id="6" name="Bild 5">
          <a:extLst>
            <a:ext uri="{FF2B5EF4-FFF2-40B4-BE49-F238E27FC236}">
              <a16:creationId xmlns:a16="http://schemas.microsoft.com/office/drawing/2014/main" id="{9BF80D7A-6D64-9C40-BD6F-55DFC44810F5}"/>
            </a:ext>
            <a:ext uri="{147F2762-F138-4A5C-976F-8EAC2B608ADB}">
              <a16:predDERef xmlns:a16="http://schemas.microsoft.com/office/drawing/2014/main" pred="{F22452C8-3A68-48C7-BCCE-0EE728590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385925" y="1044575"/>
          <a:ext cx="3990975" cy="723900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</xdr:colOff>
      <xdr:row>17</xdr:row>
      <xdr:rowOff>190500</xdr:rowOff>
    </xdr:from>
    <xdr:to>
      <xdr:col>18</xdr:col>
      <xdr:colOff>581025</xdr:colOff>
      <xdr:row>25</xdr:row>
      <xdr:rowOff>28575</xdr:rowOff>
    </xdr:to>
    <xdr:pic>
      <xdr:nvPicPr>
        <xdr:cNvPr id="7" name="Bild 7">
          <a:extLst>
            <a:ext uri="{FF2B5EF4-FFF2-40B4-BE49-F238E27FC236}">
              <a16:creationId xmlns:a16="http://schemas.microsoft.com/office/drawing/2014/main" id="{F1E8ECAA-1385-2B43-8470-0C0955F8C47D}"/>
            </a:ext>
            <a:ext uri="{147F2762-F138-4A5C-976F-8EAC2B608ADB}">
              <a16:predDERef xmlns:a16="http://schemas.microsoft.com/office/drawing/2014/main" pred="{9BF80D7A-6D64-9C40-BD6F-55DFC4481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20225" y="3609975"/>
          <a:ext cx="3914775" cy="1438275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</xdr:colOff>
      <xdr:row>27</xdr:row>
      <xdr:rowOff>9525</xdr:rowOff>
    </xdr:from>
    <xdr:to>
      <xdr:col>18</xdr:col>
      <xdr:colOff>504825</xdr:colOff>
      <xdr:row>31</xdr:row>
      <xdr:rowOff>142875</xdr:rowOff>
    </xdr:to>
    <xdr:pic>
      <xdr:nvPicPr>
        <xdr:cNvPr id="8" name="Bild 8">
          <a:extLst>
            <a:ext uri="{FF2B5EF4-FFF2-40B4-BE49-F238E27FC236}">
              <a16:creationId xmlns:a16="http://schemas.microsoft.com/office/drawing/2014/main" id="{EED8D22C-CE47-4042-A8C3-E44E8B928025}"/>
            </a:ext>
            <a:ext uri="{147F2762-F138-4A5C-976F-8EAC2B608ADB}">
              <a16:predDERef xmlns:a16="http://schemas.microsoft.com/office/drawing/2014/main" pred="{5A911BB5-436A-42A4-B81B-589B40F16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5625" y="5419725"/>
          <a:ext cx="5156200" cy="908050"/>
        </a:xfrm>
        <a:prstGeom prst="rect">
          <a:avLst/>
        </a:prstGeom>
      </xdr:spPr>
    </xdr:pic>
    <xdr:clientData/>
  </xdr:twoCellAnchor>
  <xdr:twoCellAnchor editAs="oneCell">
    <xdr:from>
      <xdr:col>18</xdr:col>
      <xdr:colOff>723900</xdr:colOff>
      <xdr:row>13</xdr:row>
      <xdr:rowOff>152400</xdr:rowOff>
    </xdr:from>
    <xdr:to>
      <xdr:col>22</xdr:col>
      <xdr:colOff>393700</xdr:colOff>
      <xdr:row>17</xdr:row>
      <xdr:rowOff>101600</xdr:rowOff>
    </xdr:to>
    <xdr:pic>
      <xdr:nvPicPr>
        <xdr:cNvPr id="9" name="Bild 9">
          <a:extLst>
            <a:ext uri="{FF2B5EF4-FFF2-40B4-BE49-F238E27FC236}">
              <a16:creationId xmlns:a16="http://schemas.microsoft.com/office/drawing/2014/main" id="{F013C030-2CE7-414D-9B74-13E6D187F52B}"/>
            </a:ext>
            <a:ext uri="{147F2762-F138-4A5C-976F-8EAC2B608ADB}">
              <a16:predDERef xmlns:a16="http://schemas.microsoft.com/office/drawing/2014/main" pred="{FA34BA07-7BF0-45B8-A724-A79AA3FBA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328900" y="2755900"/>
          <a:ext cx="3822700" cy="736600"/>
        </a:xfrm>
        <a:prstGeom prst="rect">
          <a:avLst/>
        </a:prstGeom>
      </xdr:spPr>
    </xdr:pic>
    <xdr:clientData/>
  </xdr:twoCellAnchor>
  <xdr:twoCellAnchor>
    <xdr:from>
      <xdr:col>10</xdr:col>
      <xdr:colOff>180975</xdr:colOff>
      <xdr:row>13</xdr:row>
      <xdr:rowOff>152400</xdr:rowOff>
    </xdr:from>
    <xdr:to>
      <xdr:col>13</xdr:col>
      <xdr:colOff>161925</xdr:colOff>
      <xdr:row>19</xdr:row>
      <xdr:rowOff>114300</xdr:rowOff>
    </xdr:to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E438865F-4CC0-BC42-83CF-76D6A506008F}"/>
            </a:ext>
            <a:ext uri="{147F2762-F138-4A5C-976F-8EAC2B608ADB}">
              <a16:predDERef xmlns:a16="http://schemas.microsoft.com/office/drawing/2014/main" pred="{EDB1BB0D-4839-49AE-8A18-1258508147F4}"/>
            </a:ext>
          </a:extLst>
        </xdr:cNvPr>
        <xdr:cNvSpPr txBox="1"/>
      </xdr:nvSpPr>
      <xdr:spPr>
        <a:xfrm>
          <a:off x="7877175" y="2755900"/>
          <a:ext cx="2292350" cy="1181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y=68+0.72*x1-0.44*x2-0.69*x3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939800</xdr:colOff>
      <xdr:row>61</xdr:row>
      <xdr:rowOff>171450</xdr:rowOff>
    </xdr:from>
    <xdr:to>
      <xdr:col>10</xdr:col>
      <xdr:colOff>558800</xdr:colOff>
      <xdr:row>76</xdr:row>
      <xdr:rowOff>57150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D178530-939C-E824-BF44-58010F4B1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203200</xdr:colOff>
      <xdr:row>63</xdr:row>
      <xdr:rowOff>69850</xdr:rowOff>
    </xdr:from>
    <xdr:to>
      <xdr:col>5</xdr:col>
      <xdr:colOff>342900</xdr:colOff>
      <xdr:row>77</xdr:row>
      <xdr:rowOff>146050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ED18F240-3494-47CF-0629-83E6399CADD5}"/>
            </a:ext>
            <a:ext uri="{147F2762-F138-4A5C-976F-8EAC2B608ADB}">
              <a16:predDERef xmlns:a16="http://schemas.microsoft.com/office/drawing/2014/main" pred="{0D178530-939C-E824-BF44-58010F4B1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295275</xdr:colOff>
      <xdr:row>35</xdr:row>
      <xdr:rowOff>190500</xdr:rowOff>
    </xdr:from>
    <xdr:to>
      <xdr:col>20</xdr:col>
      <xdr:colOff>523875</xdr:colOff>
      <xdr:row>49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F24766-1647-CF2F-D76C-1FBD1C611D27}"/>
            </a:ext>
            <a:ext uri="{147F2762-F138-4A5C-976F-8EAC2B608ADB}">
              <a16:predDERef xmlns:a16="http://schemas.microsoft.com/office/drawing/2014/main" pred="{ED18F240-3494-47CF-0629-83E6399CA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9"/>
  <sheetViews>
    <sheetView topLeftCell="Y2" zoomScale="157" workbookViewId="0">
      <selection activeCell="AD16" sqref="AD16"/>
    </sheetView>
  </sheetViews>
  <sheetFormatPr defaultColWidth="9.140625" defaultRowHeight="15"/>
  <cols>
    <col min="2" max="2" width="18.140625" bestFit="1" customWidth="1"/>
    <col min="6" max="6" width="12.85546875" bestFit="1" customWidth="1"/>
    <col min="7" max="7" width="11.42578125" bestFit="1" customWidth="1"/>
    <col min="9" max="9" width="12.42578125" bestFit="1" customWidth="1"/>
    <col min="12" max="12" width="12" bestFit="1" customWidth="1"/>
    <col min="15" max="15" width="12.42578125" customWidth="1"/>
    <col min="16" max="16" width="12.85546875" bestFit="1" customWidth="1"/>
    <col min="17" max="17" width="13.85546875" bestFit="1" customWidth="1"/>
    <col min="18" max="18" width="12" bestFit="1" customWidth="1"/>
    <col min="19" max="19" width="12" customWidth="1"/>
    <col min="20" max="20" width="12.85546875" bestFit="1" customWidth="1"/>
    <col min="21" max="21" width="12.42578125" bestFit="1" customWidth="1"/>
    <col min="28" max="28" width="34.28515625" bestFit="1" customWidth="1"/>
    <col min="29" max="29" width="18.42578125" bestFit="1" customWidth="1"/>
    <col min="30" max="30" width="19.42578125" bestFit="1" customWidth="1"/>
    <col min="31" max="31" width="26.42578125" bestFit="1" customWidth="1"/>
    <col min="32" max="32" width="18.7109375" bestFit="1" customWidth="1"/>
    <col min="33" max="33" width="16.42578125" bestFit="1" customWidth="1"/>
    <col min="34" max="34" width="14.42578125" bestFit="1" customWidth="1"/>
    <col min="35" max="36" width="15.28515625" bestFit="1" customWidth="1"/>
  </cols>
  <sheetData>
    <row r="1" spans="1:36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6" t="s">
        <v>10</v>
      </c>
      <c r="P1" s="13" t="s">
        <v>11</v>
      </c>
      <c r="Q1" s="30" t="s">
        <v>12</v>
      </c>
      <c r="R1" s="30" t="s">
        <v>13</v>
      </c>
      <c r="S1" s="30" t="s">
        <v>14</v>
      </c>
      <c r="T1" s="30" t="s">
        <v>15</v>
      </c>
      <c r="U1" s="30" t="s">
        <v>16</v>
      </c>
      <c r="V1" s="31" t="s">
        <v>17</v>
      </c>
      <c r="W1" s="31" t="s">
        <v>18</v>
      </c>
    </row>
    <row r="2" spans="1:36">
      <c r="A2" s="19">
        <v>12</v>
      </c>
      <c r="B2" s="25">
        <v>1</v>
      </c>
      <c r="C2" s="20">
        <v>-9</v>
      </c>
      <c r="D2" s="20">
        <v>18</v>
      </c>
      <c r="E2" s="20">
        <v>66</v>
      </c>
      <c r="F2">
        <f>+$P$2+C2*$P$3+D2*$P$4+$P$5*E2</f>
        <v>7.8695955854233688</v>
      </c>
      <c r="G2">
        <f>+A2-F2</f>
        <v>4.1304044145766312</v>
      </c>
      <c r="H2">
        <f>+G2*G2</f>
        <v>17.060240627954123</v>
      </c>
      <c r="J2">
        <f>+(A2-$P$6)^2</f>
        <v>25</v>
      </c>
      <c r="K2">
        <f>+(F2-$P$6)^2</f>
        <v>83.364284773720442</v>
      </c>
      <c r="O2" s="21" t="s">
        <v>19</v>
      </c>
      <c r="P2" s="32" cm="1">
        <f t="array" ref="P2:P5">+MMULT(_xlfn.ANCHORARRAY(B29),A2:A8)</f>
        <v>68.000326717829097</v>
      </c>
      <c r="Q2" s="31">
        <f>SQRT(P9*$B24)</f>
        <v>22.46603158090851</v>
      </c>
      <c r="R2" s="31">
        <f>(P2-0)/Q2</f>
        <v>3.0268063352859942</v>
      </c>
      <c r="S2" s="31">
        <f>2*_xlfn.T.DIST(-R2,7-4,TRUE)</f>
        <v>5.6453629980866019E-2</v>
      </c>
      <c r="T2" s="31">
        <f>P2+_xlfn.T.INV(0.025,3)*Q2</f>
        <v>-3.4966124812203105</v>
      </c>
      <c r="U2" s="31">
        <f>P2+_xlfn.T.INV(0.975,3)*Q2</f>
        <v>139.49726591687846</v>
      </c>
      <c r="V2" s="31"/>
      <c r="W2" s="31"/>
    </row>
    <row r="3" spans="1:36">
      <c r="A3" s="19">
        <v>25</v>
      </c>
      <c r="B3" s="25">
        <v>1</v>
      </c>
      <c r="C3" s="20">
        <v>-5</v>
      </c>
      <c r="D3" s="20">
        <v>12</v>
      </c>
      <c r="E3" s="20">
        <v>50</v>
      </c>
      <c r="F3">
        <f t="shared" ref="F3:F8" si="0">+$P$2+C3*$P$3+D3*$P$4+$P$5*E3</f>
        <v>24.495327462144992</v>
      </c>
      <c r="G3">
        <f t="shared" ref="G3:G8" si="1">+A3-F3</f>
        <v>0.50467253785500787</v>
      </c>
      <c r="H3">
        <f t="shared" ref="H3:H8" si="2">+G3*G3</f>
        <v>0.25469437046501436</v>
      </c>
      <c r="J3">
        <f t="shared" ref="J3:J8" si="3">+(A3-$P$6)^2</f>
        <v>64</v>
      </c>
      <c r="K3">
        <f t="shared" ref="K3:K8" si="4">+(F3-$P$6)^2</f>
        <v>56.179933764784892</v>
      </c>
      <c r="O3" s="21" t="s">
        <v>20</v>
      </c>
      <c r="P3" s="32">
        <v>0.72644732502605547</v>
      </c>
      <c r="Q3" s="31">
        <f>SQRT(P9*C25)</f>
        <v>0.73286045630250851</v>
      </c>
      <c r="R3" s="31">
        <f t="shared" ref="R3:R5" si="5">(P3-0)/Q3</f>
        <v>0.99124917817396074</v>
      </c>
      <c r="S3" s="31">
        <f>2*_xlfn.T.DIST(-R3,7-4,TRUE)</f>
        <v>0.39463650973545206</v>
      </c>
      <c r="T3" s="31">
        <f t="shared" ref="T3:T5" si="6">P3+_xlfn.T.INV(0.025,3)*Q3</f>
        <v>-1.6058417264223961</v>
      </c>
      <c r="U3" s="31">
        <f t="shared" ref="U3:U5" si="7">P3+_xlfn.T.INV(0.975,3)*Q3</f>
        <v>3.0587363764745055</v>
      </c>
      <c r="V3" s="31"/>
      <c r="W3" s="31"/>
    </row>
    <row r="4" spans="1:36" ht="15.95">
      <c r="A4" s="19">
        <v>15</v>
      </c>
      <c r="B4" s="25">
        <v>1</v>
      </c>
      <c r="C4" s="20">
        <v>-2</v>
      </c>
      <c r="D4" s="20">
        <v>16</v>
      </c>
      <c r="E4" s="20">
        <v>65</v>
      </c>
      <c r="F4">
        <f t="shared" si="0"/>
        <v>14.53494091938289</v>
      </c>
      <c r="G4">
        <f t="shared" si="1"/>
        <v>0.46505908061710954</v>
      </c>
      <c r="H4">
        <f t="shared" si="2"/>
        <v>0.21627994846443119</v>
      </c>
      <c r="J4">
        <f t="shared" si="3"/>
        <v>4</v>
      </c>
      <c r="K4">
        <f t="shared" si="4"/>
        <v>6.0765162709328697</v>
      </c>
      <c r="O4" s="21" t="s">
        <v>21</v>
      </c>
      <c r="P4" s="32">
        <v>-0.44474932168526382</v>
      </c>
      <c r="Q4" s="31">
        <f>SQRT(P9*D26)</f>
        <v>0.77152062027089074</v>
      </c>
      <c r="R4" s="31">
        <f t="shared" si="5"/>
        <v>-0.57645811401528924</v>
      </c>
      <c r="S4" s="31">
        <f>2*_xlfn.T.DIST(+R4,7-4,TRUE)</f>
        <v>0.60471268833226621</v>
      </c>
      <c r="T4" s="31">
        <f t="shared" si="6"/>
        <v>-2.9000722691165555</v>
      </c>
      <c r="U4" s="31">
        <f t="shared" si="7"/>
        <v>2.0105736257460265</v>
      </c>
      <c r="V4" s="31"/>
      <c r="W4" s="31"/>
      <c r="AB4" s="6" t="s">
        <v>22</v>
      </c>
      <c r="AC4" s="5"/>
      <c r="AD4" s="5"/>
      <c r="AE4" s="5"/>
      <c r="AF4" s="5"/>
      <c r="AG4" s="5"/>
      <c r="AH4" s="5"/>
      <c r="AI4" s="5"/>
    </row>
    <row r="5" spans="1:36" ht="15.95">
      <c r="A5" s="19">
        <v>20</v>
      </c>
      <c r="B5" s="25">
        <v>1</v>
      </c>
      <c r="C5" s="20">
        <v>-7</v>
      </c>
      <c r="D5" s="20">
        <v>19</v>
      </c>
      <c r="E5" s="20">
        <v>51</v>
      </c>
      <c r="F5">
        <f t="shared" si="0"/>
        <v>19.238472144889414</v>
      </c>
      <c r="G5">
        <f t="shared" si="1"/>
        <v>0.76152785511058596</v>
      </c>
      <c r="H5">
        <f t="shared" si="2"/>
        <v>0.57992467410932957</v>
      </c>
      <c r="J5">
        <f t="shared" si="3"/>
        <v>9</v>
      </c>
      <c r="K5">
        <f t="shared" si="4"/>
        <v>5.0107575434458136</v>
      </c>
      <c r="O5" s="21" t="s">
        <v>23</v>
      </c>
      <c r="P5" s="32">
        <v>-0.6907154154066133</v>
      </c>
      <c r="Q5" s="31">
        <f>SQRT(P9*E27)</f>
        <v>0.36433158504170499</v>
      </c>
      <c r="R5" s="31">
        <f t="shared" si="5"/>
        <v>-1.8958428084887211</v>
      </c>
      <c r="S5" s="31">
        <f>2*_xlfn.T.DIST(+R5,7-4,TRUE)</f>
        <v>0.15426254063772857</v>
      </c>
      <c r="T5" s="31">
        <f t="shared" si="6"/>
        <v>-1.8501811221207447</v>
      </c>
      <c r="U5" s="31">
        <f t="shared" si="7"/>
        <v>0.46875029130751766</v>
      </c>
      <c r="V5" s="31"/>
      <c r="W5" s="31"/>
      <c r="AB5" s="5" t="s">
        <v>24</v>
      </c>
      <c r="AC5" s="5">
        <v>0.81445270999999997</v>
      </c>
      <c r="AD5" s="5"/>
      <c r="AE5" s="5"/>
      <c r="AF5" s="5"/>
      <c r="AG5" s="5"/>
      <c r="AH5" s="5"/>
      <c r="AI5" s="5"/>
      <c r="AJ5" s="5"/>
    </row>
    <row r="6" spans="1:36" ht="15.95">
      <c r="A6" s="19">
        <v>10</v>
      </c>
      <c r="B6" s="25">
        <v>1</v>
      </c>
      <c r="C6" s="20">
        <v>-3</v>
      </c>
      <c r="D6" s="20">
        <v>20</v>
      </c>
      <c r="E6" s="20">
        <v>59</v>
      </c>
      <c r="F6">
        <f t="shared" si="0"/>
        <v>16.173788800055476</v>
      </c>
      <c r="G6">
        <f t="shared" si="1"/>
        <v>-6.1737888000554761</v>
      </c>
      <c r="H6">
        <f t="shared" si="2"/>
        <v>38.115668147690435</v>
      </c>
      <c r="J6">
        <f t="shared" si="3"/>
        <v>49</v>
      </c>
      <c r="K6">
        <f t="shared" si="4"/>
        <v>0.68262494691376996</v>
      </c>
      <c r="O6" t="s">
        <v>25</v>
      </c>
      <c r="P6">
        <f>AVERAGE(A2:A8)</f>
        <v>17</v>
      </c>
      <c r="AB6" s="5" t="s">
        <v>26</v>
      </c>
      <c r="AC6" s="5">
        <v>0.66333321000000001</v>
      </c>
      <c r="AD6" s="5"/>
      <c r="AE6" s="5">
        <f>_xlfn.F.INV(0.95,3,3)</f>
        <v>9.2766281531448058</v>
      </c>
      <c r="AF6" s="5" t="s">
        <v>27</v>
      </c>
      <c r="AG6" s="5"/>
      <c r="AH6" s="5"/>
      <c r="AI6" s="5"/>
      <c r="AJ6" s="5"/>
    </row>
    <row r="7" spans="1:36" ht="15.95">
      <c r="A7" s="19">
        <v>11</v>
      </c>
      <c r="B7" s="25">
        <v>1</v>
      </c>
      <c r="C7" s="20">
        <v>-8</v>
      </c>
      <c r="D7" s="20">
        <v>13</v>
      </c>
      <c r="E7" s="20">
        <v>60</v>
      </c>
      <c r="F7">
        <f t="shared" si="0"/>
        <v>14.964082011315426</v>
      </c>
      <c r="G7">
        <f t="shared" si="1"/>
        <v>-3.9640820113154263</v>
      </c>
      <c r="H7">
        <f t="shared" si="2"/>
        <v>15.713946192434555</v>
      </c>
      <c r="J7">
        <f t="shared" si="3"/>
        <v>36</v>
      </c>
      <c r="K7">
        <f t="shared" si="4"/>
        <v>4.1449620566494403</v>
      </c>
      <c r="AB7" s="5" t="s">
        <v>28</v>
      </c>
      <c r="AC7" s="5">
        <v>0.32666642000000001</v>
      </c>
      <c r="AD7" s="5"/>
      <c r="AE7" s="5"/>
      <c r="AF7" s="5"/>
      <c r="AG7" s="5"/>
      <c r="AH7" s="5"/>
      <c r="AI7" s="5"/>
      <c r="AJ7" s="5"/>
    </row>
    <row r="8" spans="1:36" ht="15.95">
      <c r="A8" s="19">
        <v>26</v>
      </c>
      <c r="B8" s="25">
        <v>1</v>
      </c>
      <c r="C8" s="20">
        <v>-1</v>
      </c>
      <c r="D8" s="20">
        <v>17</v>
      </c>
      <c r="E8" s="20">
        <v>55</v>
      </c>
      <c r="F8">
        <f t="shared" si="0"/>
        <v>21.723793076789825</v>
      </c>
      <c r="G8">
        <f t="shared" si="1"/>
        <v>4.2762069232101751</v>
      </c>
      <c r="H8">
        <f t="shared" si="2"/>
        <v>18.285945650110634</v>
      </c>
      <c r="J8">
        <f t="shared" si="3"/>
        <v>81</v>
      </c>
      <c r="K8">
        <f t="shared" si="4"/>
        <v>22.314221032327481</v>
      </c>
      <c r="O8" s="13" t="s">
        <v>29</v>
      </c>
      <c r="P8" s="31">
        <f>+SUM(H2:H8)</f>
        <v>90.226699611228511</v>
      </c>
      <c r="AB8" s="5" t="s">
        <v>30</v>
      </c>
      <c r="AC8" s="5">
        <v>5.4841194900000003</v>
      </c>
      <c r="AD8" s="5"/>
      <c r="AE8" s="5">
        <f>AD13/AC13</f>
        <v>59.257766666666669</v>
      </c>
      <c r="AF8" s="5">
        <f>AE8/AE9</f>
        <v>1.9702959410919205</v>
      </c>
      <c r="AG8" s="5"/>
      <c r="AH8" s="5"/>
      <c r="AI8" s="5"/>
      <c r="AJ8" s="5"/>
    </row>
    <row r="9" spans="1:36" ht="15.95">
      <c r="A9">
        <f>_xlfn.VAR.S(A2:A8)</f>
        <v>44.666666666666664</v>
      </c>
      <c r="B9">
        <v>1</v>
      </c>
      <c r="C9">
        <v>2</v>
      </c>
      <c r="D9">
        <v>3</v>
      </c>
      <c r="E9">
        <v>4</v>
      </c>
      <c r="G9" s="27">
        <f>AVERAGE(G2:G8)</f>
        <v>-1.9895196601282805E-13</v>
      </c>
      <c r="O9" s="16" t="s">
        <v>31</v>
      </c>
      <c r="P9" s="31">
        <f>+P8/(7-4)</f>
        <v>30.07556653707617</v>
      </c>
      <c r="AB9" s="8" t="s">
        <v>32</v>
      </c>
      <c r="AC9" s="8">
        <v>7</v>
      </c>
      <c r="AD9" s="5"/>
      <c r="AE9" s="5">
        <f>AD14/AC14</f>
        <v>30.075566533333333</v>
      </c>
      <c r="AF9" s="5"/>
      <c r="AG9" s="5"/>
      <c r="AH9" s="5"/>
      <c r="AI9" s="5"/>
      <c r="AJ9" s="5"/>
    </row>
    <row r="10" spans="1:36" ht="15.95">
      <c r="O10" s="16" t="s">
        <v>10</v>
      </c>
      <c r="P10" s="31">
        <f>+SUM(K2:K8)</f>
        <v>177.77330038877469</v>
      </c>
      <c r="AB10" s="5"/>
      <c r="AC10" s="5"/>
      <c r="AD10" s="5"/>
      <c r="AE10" s="5"/>
      <c r="AF10" s="5"/>
      <c r="AG10" s="5"/>
      <c r="AH10" s="5"/>
      <c r="AI10" s="5"/>
      <c r="AJ10" s="5"/>
    </row>
    <row r="11" spans="1:36" ht="15.95"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  <c r="H11">
        <v>7</v>
      </c>
      <c r="O11" s="16" t="s">
        <v>9</v>
      </c>
      <c r="P11" s="31">
        <f>+SUM(J2:J8)</f>
        <v>268</v>
      </c>
      <c r="Q11">
        <f>P8+P10</f>
        <v>268.00000000000318</v>
      </c>
      <c r="AB11" s="5" t="s">
        <v>33</v>
      </c>
      <c r="AC11" s="5"/>
      <c r="AD11" s="5"/>
      <c r="AE11" s="5"/>
      <c r="AF11" s="5"/>
      <c r="AG11" s="5"/>
      <c r="AH11" s="5"/>
      <c r="AI11" s="5"/>
      <c r="AJ11" s="5"/>
    </row>
    <row r="12" spans="1:36" ht="15.95">
      <c r="A12">
        <v>1</v>
      </c>
      <c r="B12" s="3" cm="1">
        <f t="array" ref="B12:H15">+TRANSPOSE(B2:E8)</f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13" t="s">
        <v>34</v>
      </c>
      <c r="O12" s="13" t="s">
        <v>35</v>
      </c>
      <c r="P12" s="31">
        <f>+P10/P11</f>
        <v>0.66333321040587567</v>
      </c>
      <c r="Q12">
        <f>P12-P13</f>
        <v>0.33666678959412433</v>
      </c>
      <c r="AB12" s="6" t="s">
        <v>36</v>
      </c>
      <c r="AC12" s="6" t="s">
        <v>37</v>
      </c>
      <c r="AD12" s="6" t="s">
        <v>38</v>
      </c>
      <c r="AE12" s="6" t="s">
        <v>39</v>
      </c>
      <c r="AF12" s="6" t="s">
        <v>40</v>
      </c>
      <c r="AG12" s="6" t="s">
        <v>41</v>
      </c>
      <c r="AH12" s="5"/>
      <c r="AI12" s="5"/>
      <c r="AJ12" s="5"/>
    </row>
    <row r="13" spans="1:36" ht="15.95">
      <c r="A13">
        <v>2</v>
      </c>
      <c r="B13" s="3">
        <v>-9</v>
      </c>
      <c r="C13" s="3">
        <v>-5</v>
      </c>
      <c r="D13" s="3">
        <v>-2</v>
      </c>
      <c r="E13" s="3">
        <v>-7</v>
      </c>
      <c r="F13" s="3">
        <v>-3</v>
      </c>
      <c r="G13" s="3">
        <v>-8</v>
      </c>
      <c r="H13" s="3">
        <v>-1</v>
      </c>
      <c r="O13" s="13" t="s">
        <v>42</v>
      </c>
      <c r="P13" s="31">
        <f>1-(6/(7-3-1))*(1-P12)</f>
        <v>0.32666642081175135</v>
      </c>
      <c r="AB13" s="5" t="s">
        <v>43</v>
      </c>
      <c r="AC13" s="5">
        <v>3</v>
      </c>
      <c r="AD13" s="5">
        <v>177.77330000000001</v>
      </c>
      <c r="AE13" s="5">
        <v>59.257766799999999</v>
      </c>
      <c r="AF13" s="5">
        <v>1.9702959499999999</v>
      </c>
      <c r="AG13" s="5">
        <v>0.29579791999999999</v>
      </c>
      <c r="AH13" t="s">
        <v>44</v>
      </c>
      <c r="AI13" s="5">
        <f>AD13/AC13</f>
        <v>59.257766666666669</v>
      </c>
      <c r="AJ13" s="5"/>
    </row>
    <row r="14" spans="1:36" ht="15.95">
      <c r="A14">
        <v>3</v>
      </c>
      <c r="B14" s="3">
        <v>18</v>
      </c>
      <c r="C14" s="3">
        <v>12</v>
      </c>
      <c r="D14" s="3">
        <v>16</v>
      </c>
      <c r="E14" s="3">
        <v>19</v>
      </c>
      <c r="F14" s="3">
        <v>20</v>
      </c>
      <c r="G14" s="3">
        <v>13</v>
      </c>
      <c r="H14" s="3">
        <v>17</v>
      </c>
      <c r="O14" s="17"/>
      <c r="P14" s="18">
        <f>(P10/3)</f>
        <v>59.257766796258231</v>
      </c>
      <c r="Q14" s="17" t="s">
        <v>45</v>
      </c>
      <c r="R14" s="18">
        <f>P8/3</f>
        <v>30.07556653707617</v>
      </c>
      <c r="S14" t="s">
        <v>46</v>
      </c>
      <c r="AB14" s="5" t="s">
        <v>47</v>
      </c>
      <c r="AC14" s="5">
        <v>3</v>
      </c>
      <c r="AD14" s="5">
        <v>90.226699600000003</v>
      </c>
      <c r="AE14" s="5">
        <v>30.075566500000001</v>
      </c>
      <c r="AF14" s="5" t="s">
        <v>48</v>
      </c>
      <c r="AG14" s="5"/>
      <c r="AH14" s="5"/>
      <c r="AI14" s="5">
        <f>AD14/AC14</f>
        <v>30.075566533333333</v>
      </c>
      <c r="AJ14" s="5"/>
    </row>
    <row r="15" spans="1:36" ht="15.95">
      <c r="A15">
        <v>4</v>
      </c>
      <c r="B15" s="3">
        <v>66</v>
      </c>
      <c r="C15" s="3">
        <v>50</v>
      </c>
      <c r="D15" s="3">
        <v>65</v>
      </c>
      <c r="E15" s="3">
        <v>51</v>
      </c>
      <c r="F15" s="3">
        <v>59</v>
      </c>
      <c r="G15" s="3">
        <v>60</v>
      </c>
      <c r="H15" s="3">
        <v>55</v>
      </c>
      <c r="O15" s="13" t="s">
        <v>49</v>
      </c>
      <c r="P15">
        <f>+P14/R14</f>
        <v>1.9702959451555868</v>
      </c>
      <c r="AB15" s="8" t="s">
        <v>50</v>
      </c>
      <c r="AC15" s="8">
        <v>6</v>
      </c>
      <c r="AD15" s="8">
        <v>268</v>
      </c>
      <c r="AE15" s="8" t="s">
        <v>36</v>
      </c>
      <c r="AF15" s="8" t="s">
        <v>36</v>
      </c>
      <c r="AG15" s="8" t="s">
        <v>36</v>
      </c>
      <c r="AH15" s="5"/>
      <c r="AI15" s="5"/>
      <c r="AJ15" s="5"/>
    </row>
    <row r="16" spans="1:36" ht="15.95">
      <c r="O16" s="13" t="s">
        <v>14</v>
      </c>
      <c r="P16">
        <f>1-_xlfn.F.DIST(P15,3,3,TRUE)</f>
        <v>0.29579792388411297</v>
      </c>
      <c r="AB16" s="5"/>
      <c r="AC16" s="5"/>
      <c r="AD16" s="5"/>
      <c r="AE16" s="5"/>
      <c r="AF16" s="5"/>
      <c r="AG16" s="5"/>
      <c r="AH16" s="5"/>
      <c r="AI16" s="5"/>
      <c r="AJ16" s="5"/>
    </row>
    <row r="17" spans="1:36" ht="15.95">
      <c r="B17">
        <v>1</v>
      </c>
      <c r="C17">
        <v>2</v>
      </c>
      <c r="D17">
        <v>3</v>
      </c>
      <c r="E17">
        <v>4</v>
      </c>
      <c r="O17" t="s">
        <v>51</v>
      </c>
      <c r="P17">
        <f>1-_xlfn.F.DIST(P16,3,3,TRUE)</f>
        <v>0.8280937603219265</v>
      </c>
      <c r="AB17" s="6" t="s">
        <v>36</v>
      </c>
      <c r="AC17" s="6" t="s">
        <v>52</v>
      </c>
      <c r="AD17" s="6" t="s">
        <v>30</v>
      </c>
      <c r="AE17" s="6" t="s">
        <v>53</v>
      </c>
      <c r="AF17" s="6" t="s">
        <v>54</v>
      </c>
      <c r="AG17" s="6" t="s">
        <v>55</v>
      </c>
      <c r="AH17" s="6" t="s">
        <v>56</v>
      </c>
      <c r="AI17" s="6" t="s">
        <v>57</v>
      </c>
      <c r="AJ17" s="6" t="s">
        <v>58</v>
      </c>
    </row>
    <row r="18" spans="1:36" ht="15.95">
      <c r="A18">
        <v>1</v>
      </c>
      <c r="B18" s="15" cm="1">
        <f t="array" ref="B18:E21">+MMULT(_xlfn.ANCHORARRAY(B12),B2:E8)</f>
        <v>7</v>
      </c>
      <c r="C18" s="15">
        <v>-35</v>
      </c>
      <c r="D18" s="15">
        <v>115</v>
      </c>
      <c r="E18" s="15">
        <v>406</v>
      </c>
      <c r="F18" s="13" t="s">
        <v>59</v>
      </c>
      <c r="G18" t="s">
        <v>60</v>
      </c>
      <c r="I18">
        <f>MDETERM(_xlfn.ANCHORARRAY(B18))</f>
        <v>4863523.9999999776</v>
      </c>
      <c r="AB18" s="5" t="s">
        <v>61</v>
      </c>
      <c r="AC18" s="5">
        <v>68.000326700000002</v>
      </c>
      <c r="AD18" s="5">
        <v>22.466031600000001</v>
      </c>
      <c r="AE18" s="24">
        <v>3.0268063399999998</v>
      </c>
      <c r="AF18" s="24">
        <v>5.6453629999999998E-2</v>
      </c>
      <c r="AG18" s="5">
        <v>-3.4966124999999999</v>
      </c>
      <c r="AH18" s="5">
        <v>139.497266</v>
      </c>
      <c r="AI18" s="5">
        <v>-63.221725999999997</v>
      </c>
      <c r="AJ18" s="5">
        <v>199.22237999999999</v>
      </c>
    </row>
    <row r="19" spans="1:36" ht="15.95">
      <c r="A19">
        <v>2</v>
      </c>
      <c r="B19" s="15">
        <v>-35</v>
      </c>
      <c r="C19" s="15">
        <v>233</v>
      </c>
      <c r="D19" s="15">
        <v>-568</v>
      </c>
      <c r="E19" s="15">
        <v>-2043</v>
      </c>
      <c r="U19" s="33" t="s">
        <v>62</v>
      </c>
      <c r="V19" s="33"/>
      <c r="W19" s="33"/>
      <c r="AB19" s="5" t="s">
        <v>63</v>
      </c>
      <c r="AC19" s="5">
        <v>0.72644732999999995</v>
      </c>
      <c r="AD19" s="5">
        <v>0.73286046000000005</v>
      </c>
      <c r="AE19" s="22">
        <v>0.99124917999999995</v>
      </c>
      <c r="AF19" s="22">
        <v>0.39463651</v>
      </c>
      <c r="AG19" s="5">
        <v>-1.6058417</v>
      </c>
      <c r="AH19" s="5">
        <v>3.05873638</v>
      </c>
      <c r="AI19" s="5">
        <v>-3.5541241000000001</v>
      </c>
      <c r="AJ19" s="5">
        <v>5.0070187900000001</v>
      </c>
    </row>
    <row r="20" spans="1:36" ht="15.95">
      <c r="A20">
        <v>3</v>
      </c>
      <c r="B20" s="15">
        <v>115</v>
      </c>
      <c r="C20" s="15">
        <v>-568</v>
      </c>
      <c r="D20" s="15">
        <v>1943</v>
      </c>
      <c r="E20" s="15">
        <v>6692</v>
      </c>
      <c r="AB20" s="5" t="s">
        <v>64</v>
      </c>
      <c r="AC20" s="5">
        <v>-0.44474930000000001</v>
      </c>
      <c r="AD20" s="5">
        <v>0.77152061999999999</v>
      </c>
      <c r="AE20" s="22">
        <v>-0.57645809999999997</v>
      </c>
      <c r="AF20" s="22">
        <v>0.60471269000000005</v>
      </c>
      <c r="AG20" s="5">
        <v>-2.9000723000000002</v>
      </c>
      <c r="AH20" s="5">
        <v>2.0105736300000001</v>
      </c>
      <c r="AI20" s="5">
        <v>-4.9511313000000001</v>
      </c>
      <c r="AJ20" s="5">
        <v>4.06163265</v>
      </c>
    </row>
    <row r="21" spans="1:36" ht="15.95">
      <c r="A21">
        <v>4</v>
      </c>
      <c r="B21" s="15">
        <v>406</v>
      </c>
      <c r="C21" s="15">
        <v>-2043</v>
      </c>
      <c r="D21" s="15">
        <v>6692</v>
      </c>
      <c r="E21" s="15">
        <v>23788</v>
      </c>
      <c r="AB21" s="8" t="s">
        <v>65</v>
      </c>
      <c r="AC21" s="8">
        <v>-0.69071539999999998</v>
      </c>
      <c r="AD21" s="8">
        <v>0.36433158999999998</v>
      </c>
      <c r="AE21" s="23">
        <v>-1.8958428000000001</v>
      </c>
      <c r="AF21" s="23">
        <v>0.15426254</v>
      </c>
      <c r="AG21" s="8">
        <v>-1.8501810999999999</v>
      </c>
      <c r="AH21" s="8">
        <v>0.46875029000000001</v>
      </c>
      <c r="AI21" s="8">
        <v>-2.8187432000000001</v>
      </c>
      <c r="AJ21" s="8">
        <v>1.4373123299999999</v>
      </c>
    </row>
    <row r="22" spans="1:36" ht="15.95">
      <c r="V22" t="s">
        <v>66</v>
      </c>
      <c r="AB22" s="5"/>
      <c r="AC22" s="9"/>
      <c r="AD22" s="5"/>
      <c r="AE22" s="9"/>
      <c r="AF22" s="5"/>
      <c r="AG22" s="7"/>
      <c r="AH22" s="7"/>
      <c r="AI22" s="7"/>
      <c r="AJ22" s="7"/>
    </row>
    <row r="23" spans="1:36" ht="15.95">
      <c r="V23" t="s">
        <v>67</v>
      </c>
      <c r="AB23" s="8"/>
      <c r="AC23" s="10"/>
      <c r="AD23" s="8"/>
      <c r="AE23" s="11"/>
      <c r="AF23" s="8"/>
      <c r="AG23" s="11"/>
      <c r="AH23" s="8"/>
      <c r="AI23" s="11"/>
      <c r="AJ23" s="8"/>
    </row>
    <row r="24" spans="1:36">
      <c r="B24" s="14" cm="1">
        <f t="array" ref="B24:E27">+MINVERSE(_xlfn.ANCHORARRAY(B18))</f>
        <v>16.781814379861245</v>
      </c>
      <c r="C24" s="1">
        <v>6.4628446369339676E-2</v>
      </c>
      <c r="D24" s="1">
        <v>-0.22518095932085322</v>
      </c>
      <c r="E24" s="1">
        <v>-0.21752437121725043</v>
      </c>
      <c r="F24" s="13" t="s">
        <v>68</v>
      </c>
    </row>
    <row r="25" spans="1:36">
      <c r="B25" s="1">
        <v>6.4628446369341272E-2</v>
      </c>
      <c r="C25" s="14">
        <v>1.7857833126761584E-2</v>
      </c>
      <c r="D25" s="1">
        <v>-2.8296354659707841E-3</v>
      </c>
      <c r="E25" s="1">
        <v>1.2266825454135637E-3</v>
      </c>
      <c r="V25" t="s">
        <v>69</v>
      </c>
    </row>
    <row r="26" spans="1:36">
      <c r="B26" s="1">
        <v>-0.22518095932085266</v>
      </c>
      <c r="C26" s="1">
        <v>-2.8296354659707711E-3</v>
      </c>
      <c r="D26" s="14">
        <v>1.9791616120327534E-2</v>
      </c>
      <c r="E26" s="1">
        <v>-1.9675033987701356E-3</v>
      </c>
      <c r="V26" t="s">
        <v>70</v>
      </c>
    </row>
    <row r="27" spans="1:36" ht="15.95">
      <c r="B27" s="1">
        <v>-0.21752437121725049</v>
      </c>
      <c r="C27" s="1">
        <v>1.2266825454135869E-3</v>
      </c>
      <c r="D27" s="1">
        <v>-1.9675033987701261E-3</v>
      </c>
      <c r="E27" s="14">
        <v>4.4134664494305254E-3</v>
      </c>
      <c r="AB27" s="5"/>
      <c r="AC27" s="5"/>
      <c r="AD27" s="5"/>
      <c r="AE27" s="5"/>
      <c r="AF27" s="5"/>
      <c r="AG27" s="5"/>
      <c r="AH27" s="5"/>
      <c r="AI27" s="5"/>
      <c r="AJ27" s="5"/>
    </row>
    <row r="28" spans="1:36" ht="15.95">
      <c r="AB28" s="5"/>
      <c r="AC28" s="5"/>
      <c r="AD28" s="5"/>
      <c r="AE28" s="5"/>
      <c r="AF28" s="5"/>
      <c r="AG28" s="5"/>
      <c r="AH28" s="5"/>
      <c r="AI28" s="5"/>
      <c r="AJ28" s="5"/>
    </row>
    <row r="29" spans="1:36" ht="15.95">
      <c r="B29" s="4" cm="1">
        <f t="array" ref="B29:H32">+MMULT(_xlfn.ANCHORARRAY(B24),_xlfn.ANCHORARRAY(B12))</f>
        <v>-2.2097074055766992</v>
      </c>
      <c r="C29" s="4">
        <v>2.8802820753017855</v>
      </c>
      <c r="D29" s="4">
        <v>-1.0894219911323653</v>
      </c>
      <c r="E29" s="4">
        <v>0.95723409609988508</v>
      </c>
      <c r="F29" s="4">
        <v>-0.74962804748161282</v>
      </c>
      <c r="G29" s="4">
        <v>0.28597206470040959</v>
      </c>
      <c r="H29" s="4">
        <v>0.92526920808862556</v>
      </c>
      <c r="I29" s="26"/>
      <c r="J29" s="26"/>
      <c r="K29" s="26"/>
      <c r="L29" s="13" t="s">
        <v>71</v>
      </c>
      <c r="AB29" s="6"/>
      <c r="AC29" s="5"/>
      <c r="AD29" s="5"/>
      <c r="AE29" s="5"/>
      <c r="AF29" s="5"/>
      <c r="AG29" s="5"/>
      <c r="AH29" s="5"/>
      <c r="AI29" s="5"/>
    </row>
    <row r="30" spans="1:36" ht="15.95">
      <c r="B30" s="4">
        <v>-6.6064442161691911E-2</v>
      </c>
      <c r="C30" s="4">
        <v>2.7177824145621157E-3</v>
      </c>
      <c r="D30" s="4">
        <v>6.3372978112167203E-2</v>
      </c>
      <c r="E30" s="4">
        <v>-5.157864955534297E-2</v>
      </c>
      <c r="F30" s="4">
        <v>2.6836507849041104E-2</v>
      </c>
      <c r="G30" s="4">
        <v>-4.1418526977557768E-2</v>
      </c>
      <c r="H30" s="4">
        <v>6.6134350318822366E-2</v>
      </c>
      <c r="I30" s="26"/>
      <c r="J30" s="26"/>
      <c r="K30" s="26"/>
      <c r="AB30" s="5"/>
      <c r="AC30" s="5"/>
      <c r="AD30" s="5"/>
      <c r="AE30" s="5"/>
      <c r="AF30" s="5"/>
      <c r="AG30" s="5"/>
      <c r="AH30" s="5"/>
      <c r="AI30" s="5"/>
      <c r="AJ30" s="5"/>
    </row>
    <row r="31" spans="1:36" ht="15.95">
      <c r="B31" s="4">
        <v>2.6679625719950945E-2</v>
      </c>
      <c r="C31" s="4">
        <v>-7.1908558485575202E-2</v>
      </c>
      <c r="D31" s="4">
        <v>-3.0743551383729389E-2</v>
      </c>
      <c r="E31" s="4">
        <v>7.0324521889888969E-2</v>
      </c>
      <c r="F31" s="4">
        <v>6.305756895617233E-2</v>
      </c>
      <c r="G31" s="4">
        <v>-6.3303069955036706E-2</v>
      </c>
      <c r="H31" s="4">
        <v>5.8934632583287211E-3</v>
      </c>
      <c r="I31" s="26"/>
      <c r="J31" s="26"/>
      <c r="K31" s="26"/>
      <c r="AB31" s="5"/>
      <c r="AC31" s="5"/>
      <c r="AD31" s="5"/>
      <c r="AE31" s="5"/>
      <c r="AF31" s="5"/>
      <c r="AG31" s="5"/>
      <c r="AH31" s="5"/>
      <c r="AI31" s="5"/>
      <c r="AJ31" s="5"/>
    </row>
    <row r="32" spans="1:36" ht="15.95">
      <c r="B32" s="4">
        <v>2.7309210358579639E-2</v>
      </c>
      <c r="C32" s="4">
        <v>-2.659450225803367E-2</v>
      </c>
      <c r="D32" s="4">
        <v>3.5417528524584463E-2</v>
      </c>
      <c r="E32" s="4">
        <v>-3.8406924690821187E-2</v>
      </c>
      <c r="F32" s="4">
        <v>-1.5996631249282078E-4</v>
      </c>
      <c r="G32" s="4">
        <v>1.1892611201260728E-2</v>
      </c>
      <c r="H32" s="4">
        <v>-9.4579568230773181E-3</v>
      </c>
      <c r="I32" s="26"/>
      <c r="J32" s="26"/>
      <c r="K32" s="26"/>
      <c r="AB32" s="5"/>
      <c r="AC32" s="5"/>
      <c r="AD32" s="5"/>
      <c r="AE32" s="5"/>
      <c r="AF32" s="5"/>
      <c r="AG32" s="5"/>
      <c r="AH32" s="5"/>
      <c r="AI32" s="5"/>
      <c r="AJ32" s="5"/>
    </row>
    <row r="33" spans="28:36" ht="15.95">
      <c r="AB33" s="5"/>
      <c r="AC33" s="7"/>
      <c r="AD33" s="5"/>
      <c r="AE33" s="5"/>
      <c r="AF33" s="5"/>
      <c r="AG33" s="5"/>
      <c r="AH33" s="5"/>
      <c r="AI33" s="5"/>
      <c r="AJ33" s="5"/>
    </row>
    <row r="34" spans="28:36" ht="15.95">
      <c r="AB34" s="8"/>
      <c r="AC34" s="8"/>
      <c r="AD34" s="5"/>
      <c r="AE34" s="5"/>
      <c r="AF34" s="5"/>
      <c r="AG34" s="5"/>
      <c r="AH34" s="5"/>
      <c r="AI34" s="5"/>
      <c r="AJ34" s="5"/>
    </row>
    <row r="35" spans="28:36" ht="15.95">
      <c r="AB35" s="5"/>
      <c r="AC35" s="5"/>
      <c r="AD35" s="5"/>
      <c r="AE35" s="5"/>
      <c r="AF35" s="5"/>
      <c r="AG35" s="5"/>
      <c r="AH35" s="5"/>
      <c r="AI35" s="5"/>
      <c r="AJ35" s="5"/>
    </row>
    <row r="36" spans="28:36" ht="15.95">
      <c r="AB36" s="5"/>
      <c r="AC36" s="5"/>
      <c r="AD36" s="5"/>
      <c r="AE36" s="5"/>
      <c r="AF36" s="5"/>
      <c r="AG36" s="5"/>
      <c r="AH36" s="5"/>
      <c r="AI36" s="5"/>
      <c r="AJ36" s="5"/>
    </row>
    <row r="37" spans="28:36" ht="15.95">
      <c r="AB37" s="6"/>
      <c r="AC37" s="6"/>
      <c r="AD37" s="6"/>
      <c r="AE37" s="6"/>
      <c r="AF37" s="6"/>
      <c r="AG37" s="6"/>
      <c r="AH37" s="5"/>
      <c r="AI37" s="5"/>
      <c r="AJ37" s="5"/>
    </row>
    <row r="38" spans="28:36" ht="15.95">
      <c r="AB38" s="5"/>
      <c r="AC38" s="5"/>
      <c r="AD38" s="7"/>
      <c r="AE38" s="7"/>
      <c r="AF38" s="7"/>
      <c r="AG38" s="5"/>
      <c r="AH38" s="5"/>
      <c r="AI38" s="5"/>
      <c r="AJ38" s="5"/>
    </row>
    <row r="39" spans="28:36" ht="15.95">
      <c r="AB39" s="5"/>
      <c r="AC39" s="5"/>
      <c r="AD39" s="7"/>
      <c r="AE39" s="7"/>
      <c r="AF39" s="5"/>
      <c r="AG39" s="5"/>
      <c r="AH39" s="5"/>
      <c r="AI39" s="5"/>
      <c r="AJ39" s="5"/>
    </row>
    <row r="40" spans="28:36" ht="15.95">
      <c r="AB40" s="8"/>
      <c r="AC40" s="8"/>
      <c r="AD40" s="8"/>
      <c r="AE40" s="8"/>
      <c r="AF40" s="8"/>
      <c r="AG40" s="8"/>
      <c r="AH40" s="5"/>
      <c r="AI40" s="5"/>
      <c r="AJ40" s="5"/>
    </row>
    <row r="41" spans="28:36" ht="15.95">
      <c r="AB41" s="5"/>
      <c r="AC41" s="5"/>
      <c r="AD41" s="5"/>
      <c r="AE41" s="5"/>
      <c r="AF41" s="5"/>
      <c r="AG41" s="5"/>
      <c r="AH41" s="5"/>
      <c r="AI41" s="5"/>
      <c r="AJ41" s="5"/>
    </row>
    <row r="42" spans="28:36" ht="15.95">
      <c r="AB42" s="6"/>
      <c r="AC42" s="6"/>
      <c r="AD42" s="6"/>
      <c r="AE42" s="6"/>
      <c r="AF42" s="6"/>
      <c r="AG42" s="6"/>
      <c r="AH42" s="6"/>
      <c r="AI42" s="12"/>
      <c r="AJ42" s="12"/>
    </row>
    <row r="43" spans="28:36" ht="15.95">
      <c r="AB43" s="5"/>
      <c r="AC43" s="7"/>
      <c r="AD43" s="7"/>
      <c r="AE43" s="7"/>
      <c r="AF43" s="5"/>
      <c r="AG43" s="7"/>
      <c r="AH43" s="7"/>
      <c r="AI43" s="7"/>
      <c r="AJ43" s="7"/>
    </row>
    <row r="44" spans="28:36" ht="15.95">
      <c r="AB44" s="5"/>
      <c r="AC44" s="5"/>
      <c r="AD44" s="5"/>
      <c r="AE44" s="5"/>
      <c r="AF44" s="5"/>
      <c r="AG44" s="7"/>
      <c r="AH44" s="7"/>
      <c r="AI44" s="7"/>
      <c r="AJ44" s="7"/>
    </row>
    <row r="45" spans="28:36" ht="15.95">
      <c r="AB45" s="5"/>
      <c r="AC45" s="9"/>
      <c r="AD45" s="5"/>
      <c r="AE45" s="9"/>
      <c r="AF45" s="5"/>
      <c r="AG45" s="7"/>
      <c r="AH45" s="7"/>
      <c r="AI45" s="7"/>
      <c r="AJ45" s="7"/>
    </row>
    <row r="46" spans="28:36" ht="15.95">
      <c r="AB46" s="8"/>
      <c r="AC46" s="10"/>
      <c r="AD46" s="8"/>
      <c r="AE46" s="11"/>
      <c r="AF46" s="8"/>
      <c r="AG46" s="11"/>
      <c r="AH46" s="8"/>
      <c r="AI46" s="11"/>
      <c r="AJ46" s="11"/>
    </row>
    <row r="47" spans="28:36" ht="15.95">
      <c r="AB47" s="5"/>
      <c r="AC47" s="5"/>
      <c r="AD47" s="5"/>
      <c r="AE47" s="5"/>
      <c r="AF47" s="5"/>
      <c r="AG47" s="5"/>
      <c r="AH47" s="5"/>
      <c r="AI47" s="5"/>
      <c r="AJ47" s="5"/>
    </row>
    <row r="48" spans="28:36" ht="15.95">
      <c r="AB48" s="5"/>
      <c r="AC48" s="5"/>
      <c r="AD48" s="5"/>
      <c r="AE48" s="5"/>
      <c r="AF48" s="5"/>
      <c r="AG48" s="5"/>
      <c r="AH48" s="5"/>
      <c r="AI48" s="5"/>
      <c r="AJ48" s="5"/>
    </row>
    <row r="49" spans="28:36" ht="15.95">
      <c r="AB49" s="5"/>
      <c r="AC49" s="5"/>
      <c r="AD49" s="5"/>
      <c r="AE49" s="5"/>
      <c r="AF49" s="5"/>
      <c r="AG49" s="5"/>
      <c r="AH49" s="5"/>
      <c r="AI49" s="5"/>
      <c r="AJ49" s="5"/>
    </row>
  </sheetData>
  <mergeCells count="1">
    <mergeCell ref="U19:W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4FF1-8FCB-4E0C-8F9D-5E0826C369BF}">
  <dimension ref="A1:AJ49"/>
  <sheetViews>
    <sheetView workbookViewId="0">
      <selection activeCell="O17" sqref="O17"/>
    </sheetView>
  </sheetViews>
  <sheetFormatPr defaultColWidth="9.140625" defaultRowHeight="15"/>
  <cols>
    <col min="2" max="2" width="14.5703125" bestFit="1" customWidth="1"/>
    <col min="6" max="6" width="12.85546875" bestFit="1" customWidth="1"/>
    <col min="7" max="7" width="11.42578125" bestFit="1" customWidth="1"/>
    <col min="9" max="9" width="12.42578125" bestFit="1" customWidth="1"/>
    <col min="12" max="12" width="12" bestFit="1" customWidth="1"/>
    <col min="15" max="15" width="12.42578125" customWidth="1"/>
    <col min="16" max="16" width="12.85546875" bestFit="1" customWidth="1"/>
    <col min="17" max="17" width="13.85546875" bestFit="1" customWidth="1"/>
    <col min="18" max="18" width="12" bestFit="1" customWidth="1"/>
    <col min="19" max="19" width="12" customWidth="1"/>
    <col min="20" max="20" width="12.85546875" bestFit="1" customWidth="1"/>
    <col min="21" max="21" width="12.42578125" bestFit="1" customWidth="1"/>
    <col min="28" max="28" width="34.28515625" bestFit="1" customWidth="1"/>
    <col min="29" max="29" width="18.42578125" bestFit="1" customWidth="1"/>
    <col min="30" max="30" width="19.42578125" bestFit="1" customWidth="1"/>
    <col min="31" max="31" width="26.42578125" bestFit="1" customWidth="1"/>
    <col min="32" max="32" width="18.7109375" bestFit="1" customWidth="1"/>
    <col min="33" max="33" width="16.42578125" bestFit="1" customWidth="1"/>
    <col min="34" max="34" width="14.42578125" bestFit="1" customWidth="1"/>
    <col min="35" max="36" width="15.28515625" bestFit="1" customWidth="1"/>
  </cols>
  <sheetData>
    <row r="1" spans="1:36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72</v>
      </c>
      <c r="J1" s="13" t="s">
        <v>9</v>
      </c>
      <c r="K1" s="16" t="s">
        <v>10</v>
      </c>
      <c r="P1" s="13" t="s">
        <v>11</v>
      </c>
      <c r="Q1" s="13" t="s">
        <v>12</v>
      </c>
      <c r="R1" s="13" t="s">
        <v>13</v>
      </c>
      <c r="S1" s="13" t="s">
        <v>14</v>
      </c>
      <c r="T1" s="13" t="s">
        <v>15</v>
      </c>
      <c r="U1" s="13" t="s">
        <v>16</v>
      </c>
      <c r="V1" t="s">
        <v>17</v>
      </c>
      <c r="W1" t="s">
        <v>18</v>
      </c>
    </row>
    <row r="2" spans="1:36">
      <c r="A2" s="19">
        <v>12</v>
      </c>
      <c r="B2" s="25">
        <v>1</v>
      </c>
      <c r="C2" s="20">
        <v>-9</v>
      </c>
      <c r="D2" s="20">
        <v>18</v>
      </c>
      <c r="E2" s="20">
        <v>66</v>
      </c>
      <c r="F2">
        <f>+$P$2+$P$3*C2+$P$4*D2+$P$5*E2</f>
        <v>7.8695955854233688</v>
      </c>
      <c r="G2">
        <f>+A2-F2</f>
        <v>4.1304044145766312</v>
      </c>
      <c r="H2">
        <f>+G2*G2</f>
        <v>17.060240627954123</v>
      </c>
      <c r="I2">
        <f>+(F2-$P$6)^2</f>
        <v>83.364284773720442</v>
      </c>
      <c r="J2">
        <f>+(A2-$P$6)^2</f>
        <v>25</v>
      </c>
      <c r="K2">
        <f>+(F2-$P$6)^2</f>
        <v>83.364284773720442</v>
      </c>
      <c r="O2" s="21" t="s">
        <v>19</v>
      </c>
      <c r="P2" cm="1">
        <f t="array" ref="P2:P5">+MMULT(_xlfn.ANCHORARRAY(B29),A2:A8)</f>
        <v>68.000326717829097</v>
      </c>
      <c r="Q2" s="31">
        <f>SQRT(P9*$B24)</f>
        <v>22.46603158090851</v>
      </c>
      <c r="R2">
        <f>(P2-0)/Q2</f>
        <v>3.0268063352859942</v>
      </c>
      <c r="S2">
        <f>2*_xlfn.T.DIST(-R2,7-4,TRUE)</f>
        <v>5.6453629980866019E-2</v>
      </c>
      <c r="T2" s="31">
        <f>P2+_xlfn.T.INV(0.025,3)*Q2</f>
        <v>-3.4966124812203105</v>
      </c>
      <c r="U2" s="31">
        <f>P2+_xlfn.T.INV(0.975,3)*Q2</f>
        <v>139.49726591687846</v>
      </c>
    </row>
    <row r="3" spans="1:36">
      <c r="A3" s="19">
        <v>25</v>
      </c>
      <c r="B3" s="25">
        <v>1</v>
      </c>
      <c r="C3" s="20">
        <v>-5</v>
      </c>
      <c r="D3" s="20">
        <v>12</v>
      </c>
      <c r="E3" s="20">
        <v>50</v>
      </c>
      <c r="F3">
        <f t="shared" ref="F3:F8" si="0">+$P$2+$P$3*C3+$P$4*D3+$P$5*E3</f>
        <v>24.495327462144992</v>
      </c>
      <c r="G3">
        <f t="shared" ref="G3:G9" si="1">+A3-F3</f>
        <v>0.50467253785500787</v>
      </c>
      <c r="H3">
        <f t="shared" ref="H3:H8" si="2">+G3*G3</f>
        <v>0.25469437046501436</v>
      </c>
      <c r="I3">
        <f t="shared" ref="I3:I8" si="3">+(F3-$P$6)^2</f>
        <v>56.179933764784892</v>
      </c>
      <c r="J3">
        <f t="shared" ref="J3:J8" si="4">+(A3-$P$6)^2</f>
        <v>64</v>
      </c>
      <c r="K3">
        <f t="shared" ref="K3:K8" si="5">+(F3-$P$6)^2</f>
        <v>56.179933764784892</v>
      </c>
      <c r="O3" s="21" t="s">
        <v>20</v>
      </c>
      <c r="P3">
        <v>0.72644732502605547</v>
      </c>
      <c r="Q3" s="31">
        <f>SQRT(P9*C25)</f>
        <v>0.73286045630250851</v>
      </c>
      <c r="R3">
        <f t="shared" ref="R3:R5" si="6">(P3-0)/Q3</f>
        <v>0.99124917817396074</v>
      </c>
      <c r="S3">
        <f t="shared" ref="S3:S5" si="7">2*_xlfn.T.DIST(-R3,7-4,TRUE)</f>
        <v>0.39463650973545206</v>
      </c>
      <c r="T3" s="31">
        <f t="shared" ref="T3:T5" si="8">P3+_xlfn.T.INV(0.025,3)*Q3</f>
        <v>-1.6058417264223961</v>
      </c>
      <c r="U3" s="31">
        <f t="shared" ref="U3:U5" si="9">P3+_xlfn.T.INV(0.975,3)*Q3</f>
        <v>3.0587363764745055</v>
      </c>
    </row>
    <row r="4" spans="1:36" ht="15.75">
      <c r="A4" s="19">
        <v>15</v>
      </c>
      <c r="B4" s="25">
        <v>1</v>
      </c>
      <c r="C4" s="20">
        <v>-2</v>
      </c>
      <c r="D4" s="20">
        <v>16</v>
      </c>
      <c r="E4" s="20">
        <v>65</v>
      </c>
      <c r="F4">
        <f t="shared" si="0"/>
        <v>14.53494091938289</v>
      </c>
      <c r="G4">
        <f t="shared" si="1"/>
        <v>0.46505908061710954</v>
      </c>
      <c r="H4">
        <f t="shared" si="2"/>
        <v>0.21627994846443119</v>
      </c>
      <c r="I4">
        <f t="shared" si="3"/>
        <v>6.0765162709328697</v>
      </c>
      <c r="J4">
        <f t="shared" si="4"/>
        <v>4</v>
      </c>
      <c r="K4">
        <f t="shared" si="5"/>
        <v>6.0765162709328697</v>
      </c>
      <c r="O4" s="21" t="s">
        <v>21</v>
      </c>
      <c r="P4">
        <v>-0.44474932168526382</v>
      </c>
      <c r="Q4" s="31">
        <f>SQRT(P9*D26)</f>
        <v>0.77152062027089074</v>
      </c>
      <c r="R4">
        <f t="shared" si="6"/>
        <v>-0.57645811401528924</v>
      </c>
      <c r="S4">
        <f>2*_xlfn.T.DIST(+R4,7-4,TRUE)</f>
        <v>0.60471268833226621</v>
      </c>
      <c r="T4" s="31">
        <f t="shared" si="8"/>
        <v>-2.9000722691165555</v>
      </c>
      <c r="U4" s="31">
        <f t="shared" si="9"/>
        <v>2.0105736257460265</v>
      </c>
      <c r="AB4" s="6" t="s">
        <v>22</v>
      </c>
      <c r="AC4" s="5"/>
      <c r="AD4" s="5"/>
      <c r="AE4" s="5"/>
      <c r="AF4" s="5"/>
      <c r="AG4" s="5"/>
      <c r="AH4" s="5"/>
      <c r="AI4" s="5"/>
    </row>
    <row r="5" spans="1:36" ht="15.75">
      <c r="A5" s="19">
        <v>20</v>
      </c>
      <c r="B5" s="25">
        <v>1</v>
      </c>
      <c r="C5" s="20">
        <v>-7</v>
      </c>
      <c r="D5" s="20">
        <v>19</v>
      </c>
      <c r="E5" s="20">
        <v>51</v>
      </c>
      <c r="F5">
        <f t="shared" si="0"/>
        <v>19.238472144889414</v>
      </c>
      <c r="G5">
        <f t="shared" si="1"/>
        <v>0.76152785511058596</v>
      </c>
      <c r="H5">
        <f t="shared" si="2"/>
        <v>0.57992467410932957</v>
      </c>
      <c r="I5">
        <f t="shared" si="3"/>
        <v>5.0107575434458136</v>
      </c>
      <c r="J5">
        <f t="shared" si="4"/>
        <v>9</v>
      </c>
      <c r="K5">
        <f t="shared" si="5"/>
        <v>5.0107575434458136</v>
      </c>
      <c r="O5" s="21" t="s">
        <v>23</v>
      </c>
      <c r="P5">
        <v>-0.6907154154066133</v>
      </c>
      <c r="Q5" s="31">
        <f>SQRT(P9*E27)</f>
        <v>0.36433158504170499</v>
      </c>
      <c r="R5">
        <f>(P5-0)/Q5</f>
        <v>-1.8958428084887211</v>
      </c>
      <c r="S5">
        <f>2*_xlfn.T.DIST(+R5,7-4,TRUE)</f>
        <v>0.15426254063772857</v>
      </c>
      <c r="T5" s="31">
        <f t="shared" si="8"/>
        <v>-1.8501811221207447</v>
      </c>
      <c r="U5" s="31">
        <f t="shared" si="9"/>
        <v>0.46875029130751766</v>
      </c>
      <c r="AB5" s="5" t="s">
        <v>24</v>
      </c>
      <c r="AC5" s="5">
        <v>0.81445270999999997</v>
      </c>
      <c r="AD5" s="5"/>
      <c r="AE5" s="5"/>
      <c r="AF5" s="5"/>
      <c r="AG5" s="5"/>
      <c r="AH5" s="5"/>
      <c r="AI5" s="5"/>
      <c r="AJ5" s="5"/>
    </row>
    <row r="6" spans="1:36" ht="15.75">
      <c r="A6" s="19">
        <v>10</v>
      </c>
      <c r="B6" s="25">
        <v>1</v>
      </c>
      <c r="C6" s="20">
        <v>-3</v>
      </c>
      <c r="D6" s="20">
        <v>20</v>
      </c>
      <c r="E6" s="20">
        <v>59</v>
      </c>
      <c r="F6">
        <f t="shared" si="0"/>
        <v>16.173788800055476</v>
      </c>
      <c r="G6">
        <f t="shared" si="1"/>
        <v>-6.1737888000554761</v>
      </c>
      <c r="H6">
        <f t="shared" si="2"/>
        <v>38.115668147690435</v>
      </c>
      <c r="I6">
        <f t="shared" si="3"/>
        <v>0.68262494691376996</v>
      </c>
      <c r="J6">
        <f t="shared" si="4"/>
        <v>49</v>
      </c>
      <c r="K6">
        <f t="shared" si="5"/>
        <v>0.68262494691376996</v>
      </c>
      <c r="O6" t="s">
        <v>25</v>
      </c>
      <c r="P6">
        <f>+AVERAGE(A2:A8)</f>
        <v>17</v>
      </c>
      <c r="AB6" s="5" t="s">
        <v>26</v>
      </c>
      <c r="AC6" s="5">
        <v>0.66333321000000001</v>
      </c>
      <c r="AD6" s="5"/>
      <c r="AE6" s="5">
        <f>_xlfn.F.INV(0.95,3,3)</f>
        <v>9.2766281531448058</v>
      </c>
      <c r="AF6" s="5" t="s">
        <v>27</v>
      </c>
      <c r="AG6" s="5"/>
      <c r="AH6" s="5"/>
      <c r="AI6" s="5"/>
      <c r="AJ6" s="5"/>
    </row>
    <row r="7" spans="1:36" ht="15.75">
      <c r="A7" s="19">
        <v>11</v>
      </c>
      <c r="B7" s="25">
        <v>1</v>
      </c>
      <c r="C7" s="20">
        <v>-8</v>
      </c>
      <c r="D7" s="20">
        <v>13</v>
      </c>
      <c r="E7" s="20">
        <v>60</v>
      </c>
      <c r="F7">
        <f t="shared" si="0"/>
        <v>14.964082011315426</v>
      </c>
      <c r="G7">
        <f t="shared" si="1"/>
        <v>-3.9640820113154263</v>
      </c>
      <c r="H7">
        <f t="shared" si="2"/>
        <v>15.713946192434555</v>
      </c>
      <c r="I7">
        <f t="shared" si="3"/>
        <v>4.1449620566494403</v>
      </c>
      <c r="J7">
        <f t="shared" si="4"/>
        <v>36</v>
      </c>
      <c r="K7">
        <f t="shared" si="5"/>
        <v>4.1449620566494403</v>
      </c>
      <c r="AB7" s="5" t="s">
        <v>28</v>
      </c>
      <c r="AC7" s="5">
        <v>0.32666642000000001</v>
      </c>
      <c r="AD7" s="5"/>
      <c r="AE7" s="5"/>
      <c r="AF7" s="5"/>
      <c r="AG7" s="5"/>
      <c r="AH7" s="5"/>
      <c r="AI7" s="5"/>
      <c r="AJ7" s="5"/>
    </row>
    <row r="8" spans="1:36" ht="15.75">
      <c r="A8" s="19">
        <v>26</v>
      </c>
      <c r="B8" s="25">
        <v>1</v>
      </c>
      <c r="C8" s="20">
        <v>-1</v>
      </c>
      <c r="D8" s="20">
        <v>17</v>
      </c>
      <c r="E8" s="20">
        <v>55</v>
      </c>
      <c r="F8">
        <f t="shared" si="0"/>
        <v>21.723793076789825</v>
      </c>
      <c r="G8">
        <f t="shared" si="1"/>
        <v>4.2762069232101751</v>
      </c>
      <c r="H8">
        <f t="shared" si="2"/>
        <v>18.285945650110634</v>
      </c>
      <c r="I8">
        <f t="shared" si="3"/>
        <v>22.314221032327481</v>
      </c>
      <c r="J8">
        <f t="shared" si="4"/>
        <v>81</v>
      </c>
      <c r="K8">
        <f t="shared" si="5"/>
        <v>22.314221032327481</v>
      </c>
      <c r="O8" s="13" t="s">
        <v>29</v>
      </c>
      <c r="P8">
        <f>+SUM(H2:H8)</f>
        <v>90.226699611228511</v>
      </c>
      <c r="Q8" t="s">
        <v>6</v>
      </c>
      <c r="AB8" s="5" t="s">
        <v>30</v>
      </c>
      <c r="AC8" s="5">
        <v>5.4841194900000003</v>
      </c>
      <c r="AD8" s="5"/>
      <c r="AE8" s="5">
        <f>AD13/AC13</f>
        <v>59.257766666666669</v>
      </c>
      <c r="AF8" s="5">
        <f>AE8/AE9</f>
        <v>1.9702959410919205</v>
      </c>
      <c r="AG8" s="5"/>
      <c r="AH8" s="5"/>
      <c r="AI8" s="5"/>
      <c r="AJ8" s="5"/>
    </row>
    <row r="9" spans="1:36" ht="15.75">
      <c r="A9">
        <f>_xlfn.VAR.S(A2:A8)</f>
        <v>44.666666666666664</v>
      </c>
      <c r="B9">
        <v>1</v>
      </c>
      <c r="C9">
        <v>2</v>
      </c>
      <c r="D9">
        <v>3</v>
      </c>
      <c r="E9">
        <v>4</v>
      </c>
      <c r="O9" s="16" t="s">
        <v>31</v>
      </c>
      <c r="P9">
        <f>+P8/(7-4)</f>
        <v>30.07556653707617</v>
      </c>
      <c r="AB9" s="8" t="s">
        <v>32</v>
      </c>
      <c r="AC9" s="8">
        <v>7</v>
      </c>
      <c r="AD9" s="5"/>
      <c r="AE9" s="5">
        <f>AD14/AC14</f>
        <v>30.075566533333333</v>
      </c>
      <c r="AF9" s="5"/>
      <c r="AG9" s="5"/>
      <c r="AH9" s="5"/>
      <c r="AI9" s="5"/>
      <c r="AJ9" s="5"/>
    </row>
    <row r="10" spans="1:36" ht="15.75">
      <c r="M10">
        <f>+P10+P8</f>
        <v>268.00000000000318</v>
      </c>
      <c r="O10" s="16" t="s">
        <v>10</v>
      </c>
      <c r="P10">
        <f>+SUM(I2:I8)</f>
        <v>177.77330038877469</v>
      </c>
      <c r="Q10" t="s">
        <v>73</v>
      </c>
      <c r="AB10" s="5"/>
      <c r="AC10" s="5"/>
      <c r="AD10" s="5"/>
      <c r="AE10" s="5"/>
      <c r="AF10" s="5"/>
      <c r="AG10" s="5"/>
      <c r="AH10" s="5"/>
      <c r="AI10" s="5"/>
      <c r="AJ10" s="5"/>
    </row>
    <row r="11" spans="1:36" ht="15.75"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  <c r="H11">
        <v>7</v>
      </c>
      <c r="O11" s="16" t="s">
        <v>9</v>
      </c>
      <c r="P11">
        <f>+SUM(J2:J8)</f>
        <v>268</v>
      </c>
      <c r="Q11" t="s">
        <v>74</v>
      </c>
      <c r="R11">
        <f>P10+P8</f>
        <v>268.00000000000318</v>
      </c>
      <c r="AB11" s="5" t="s">
        <v>33</v>
      </c>
      <c r="AC11" s="5"/>
      <c r="AD11" s="5"/>
      <c r="AE11" s="5"/>
      <c r="AF11" s="5"/>
      <c r="AG11" s="5"/>
      <c r="AH11" s="5"/>
      <c r="AI11" s="5"/>
      <c r="AJ11" s="5"/>
    </row>
    <row r="12" spans="1:36" ht="15.75">
      <c r="A12">
        <v>1</v>
      </c>
      <c r="B12" s="3" cm="1">
        <f t="array" ref="B12:H15">+TRANSPOSE(B2:E8)</f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13" t="s">
        <v>34</v>
      </c>
      <c r="O12" s="13" t="s">
        <v>35</v>
      </c>
      <c r="P12">
        <f>+P10/P11</f>
        <v>0.66333321040587567</v>
      </c>
      <c r="Q12" t="s">
        <v>75</v>
      </c>
      <c r="AB12" s="6" t="s">
        <v>36</v>
      </c>
      <c r="AC12" s="6" t="s">
        <v>37</v>
      </c>
      <c r="AD12" s="6" t="s">
        <v>38</v>
      </c>
      <c r="AE12" s="6" t="s">
        <v>39</v>
      </c>
      <c r="AF12" s="6" t="s">
        <v>40</v>
      </c>
      <c r="AG12" s="6" t="s">
        <v>41</v>
      </c>
      <c r="AH12" s="5"/>
      <c r="AI12" s="5"/>
      <c r="AJ12" s="5"/>
    </row>
    <row r="13" spans="1:36" ht="15.75">
      <c r="A13">
        <v>2</v>
      </c>
      <c r="B13" s="3">
        <v>-9</v>
      </c>
      <c r="C13" s="3">
        <v>-5</v>
      </c>
      <c r="D13" s="3">
        <v>-2</v>
      </c>
      <c r="E13" s="3">
        <v>-7</v>
      </c>
      <c r="F13" s="3">
        <v>-3</v>
      </c>
      <c r="G13" s="3">
        <v>-8</v>
      </c>
      <c r="H13" s="3">
        <v>-1</v>
      </c>
      <c r="O13" s="13" t="s">
        <v>42</v>
      </c>
      <c r="P13">
        <f>1-(6/(7-3-1))*(1-P12)</f>
        <v>0.32666642081175135</v>
      </c>
      <c r="AB13" s="5" t="s">
        <v>43</v>
      </c>
      <c r="AC13" s="5">
        <v>3</v>
      </c>
      <c r="AD13" s="5">
        <v>177.77330000000001</v>
      </c>
      <c r="AE13" s="5">
        <v>59.257766799999999</v>
      </c>
      <c r="AF13" s="5">
        <v>1.9702959499999999</v>
      </c>
      <c r="AG13" s="5">
        <v>0.29579791999999999</v>
      </c>
      <c r="AH13" t="s">
        <v>44</v>
      </c>
      <c r="AI13" s="5"/>
      <c r="AJ13" s="5"/>
    </row>
    <row r="14" spans="1:36" ht="15.75">
      <c r="A14">
        <v>3</v>
      </c>
      <c r="B14" s="3">
        <v>18</v>
      </c>
      <c r="C14" s="3">
        <v>12</v>
      </c>
      <c r="D14" s="3">
        <v>16</v>
      </c>
      <c r="E14" s="3">
        <v>19</v>
      </c>
      <c r="F14" s="3">
        <v>20</v>
      </c>
      <c r="G14" s="3">
        <v>13</v>
      </c>
      <c r="H14" s="3">
        <v>17</v>
      </c>
      <c r="O14" s="17"/>
      <c r="P14" s="18">
        <f>(P10/3)</f>
        <v>59.257766796258231</v>
      </c>
      <c r="Q14" s="17" t="s">
        <v>45</v>
      </c>
      <c r="R14" s="18">
        <f>P8/3</f>
        <v>30.07556653707617</v>
      </c>
      <c r="S14" t="s">
        <v>46</v>
      </c>
      <c r="AB14" s="5" t="s">
        <v>47</v>
      </c>
      <c r="AC14" s="5">
        <v>3</v>
      </c>
      <c r="AD14" s="5">
        <v>90.226699600000003</v>
      </c>
      <c r="AE14" s="5">
        <v>30.075566500000001</v>
      </c>
      <c r="AF14" s="5" t="s">
        <v>48</v>
      </c>
      <c r="AG14" s="5"/>
      <c r="AH14" s="5"/>
      <c r="AI14" s="5"/>
      <c r="AJ14" s="5"/>
    </row>
    <row r="15" spans="1:36" ht="15.75">
      <c r="A15">
        <v>4</v>
      </c>
      <c r="B15" s="3">
        <v>66</v>
      </c>
      <c r="C15" s="3">
        <v>50</v>
      </c>
      <c r="D15" s="3">
        <v>65</v>
      </c>
      <c r="E15" s="3">
        <v>51</v>
      </c>
      <c r="F15" s="3">
        <v>59</v>
      </c>
      <c r="G15" s="3">
        <v>60</v>
      </c>
      <c r="H15" s="3">
        <v>55</v>
      </c>
      <c r="O15" s="13" t="s">
        <v>49</v>
      </c>
      <c r="P15">
        <f>+P14/R14</f>
        <v>1.9702959451555868</v>
      </c>
      <c r="AB15" s="8" t="s">
        <v>50</v>
      </c>
      <c r="AC15" s="8">
        <v>6</v>
      </c>
      <c r="AD15" s="8">
        <v>268</v>
      </c>
      <c r="AE15" s="8" t="s">
        <v>36</v>
      </c>
      <c r="AF15" s="8" t="s">
        <v>36</v>
      </c>
      <c r="AG15" s="8" t="s">
        <v>36</v>
      </c>
      <c r="AH15" s="5"/>
      <c r="AI15" s="5"/>
      <c r="AJ15" s="5"/>
    </row>
    <row r="16" spans="1:36" ht="15.75">
      <c r="O16" s="13" t="s">
        <v>14</v>
      </c>
      <c r="P16">
        <f>1-_xlfn.F.DIST(P15,3,3,TRUE)</f>
        <v>0.29579792388411297</v>
      </c>
      <c r="AB16" s="5"/>
      <c r="AC16" s="5"/>
      <c r="AD16" s="5"/>
      <c r="AE16" s="5"/>
      <c r="AF16" s="5"/>
      <c r="AG16" s="5"/>
      <c r="AH16" s="5"/>
      <c r="AI16" s="5"/>
      <c r="AJ16" s="5"/>
    </row>
    <row r="17" spans="1:36" ht="15.75">
      <c r="B17">
        <v>1</v>
      </c>
      <c r="C17">
        <v>2</v>
      </c>
      <c r="D17">
        <v>3</v>
      </c>
      <c r="E17">
        <v>4</v>
      </c>
      <c r="O17" t="s">
        <v>51</v>
      </c>
      <c r="P17">
        <f>1-_xlfn.F.DIST(P16,3,3,TRUE)</f>
        <v>0.8280937603219265</v>
      </c>
      <c r="AB17" s="6" t="s">
        <v>36</v>
      </c>
      <c r="AC17" s="6" t="s">
        <v>52</v>
      </c>
      <c r="AD17" s="6" t="s">
        <v>30</v>
      </c>
      <c r="AE17" s="6" t="s">
        <v>53</v>
      </c>
      <c r="AF17" s="6" t="s">
        <v>54</v>
      </c>
      <c r="AG17" s="6" t="s">
        <v>55</v>
      </c>
      <c r="AH17" s="6" t="s">
        <v>56</v>
      </c>
      <c r="AI17" s="6" t="s">
        <v>57</v>
      </c>
      <c r="AJ17" s="6" t="s">
        <v>58</v>
      </c>
    </row>
    <row r="18" spans="1:36" ht="15.75">
      <c r="A18">
        <v>1</v>
      </c>
      <c r="B18" s="15" cm="1">
        <f t="array" ref="B18:E21">+MMULT(_xlfn.ANCHORARRAY(B12),B2:E8)</f>
        <v>7</v>
      </c>
      <c r="C18" s="15">
        <v>-35</v>
      </c>
      <c r="D18" s="15">
        <v>115</v>
      </c>
      <c r="E18" s="15">
        <v>406</v>
      </c>
      <c r="F18" s="13" t="s">
        <v>59</v>
      </c>
      <c r="G18" t="s">
        <v>60</v>
      </c>
      <c r="I18">
        <f>MDETERM(_xlfn.ANCHORARRAY(B18))</f>
        <v>4863523.9999999776</v>
      </c>
      <c r="AB18" s="5" t="s">
        <v>61</v>
      </c>
      <c r="AC18" s="5">
        <v>68.000326700000002</v>
      </c>
      <c r="AD18" s="5">
        <v>22.466031600000001</v>
      </c>
      <c r="AE18" s="24">
        <v>3.0268063399999998</v>
      </c>
      <c r="AF18" s="24">
        <v>5.6453629999999998E-2</v>
      </c>
      <c r="AG18" s="5">
        <v>-3.4966124999999999</v>
      </c>
      <c r="AH18" s="5">
        <v>139.497266</v>
      </c>
      <c r="AI18" s="5">
        <v>-63.221725999999997</v>
      </c>
      <c r="AJ18" s="5">
        <v>199.22237999999999</v>
      </c>
    </row>
    <row r="19" spans="1:36" ht="15.75">
      <c r="A19">
        <v>2</v>
      </c>
      <c r="B19" s="15">
        <v>-35</v>
      </c>
      <c r="C19" s="15">
        <v>233</v>
      </c>
      <c r="D19" s="15">
        <v>-568</v>
      </c>
      <c r="E19" s="15">
        <v>-2043</v>
      </c>
      <c r="U19" s="33" t="s">
        <v>62</v>
      </c>
      <c r="V19" s="33"/>
      <c r="W19" s="33"/>
      <c r="AB19" s="5" t="s">
        <v>63</v>
      </c>
      <c r="AC19" s="5">
        <v>0.72644732999999995</v>
      </c>
      <c r="AD19" s="5">
        <v>0.73286046000000005</v>
      </c>
      <c r="AE19" s="22">
        <v>0.99124917999999995</v>
      </c>
      <c r="AF19" s="22">
        <v>0.39463651</v>
      </c>
      <c r="AG19" s="5">
        <v>-1.6058417</v>
      </c>
      <c r="AH19" s="5">
        <v>3.05873638</v>
      </c>
      <c r="AI19" s="5">
        <v>-3.5541241000000001</v>
      </c>
      <c r="AJ19" s="5">
        <v>5.0070187900000001</v>
      </c>
    </row>
    <row r="20" spans="1:36" ht="15.75">
      <c r="A20">
        <v>3</v>
      </c>
      <c r="B20" s="15">
        <v>115</v>
      </c>
      <c r="C20" s="15">
        <v>-568</v>
      </c>
      <c r="D20" s="15">
        <v>1943</v>
      </c>
      <c r="E20" s="15">
        <v>6692</v>
      </c>
      <c r="AB20" s="5" t="s">
        <v>64</v>
      </c>
      <c r="AC20" s="5">
        <v>-0.44474930000000001</v>
      </c>
      <c r="AD20" s="5">
        <v>0.77152061999999999</v>
      </c>
      <c r="AE20" s="22">
        <v>-0.57645809999999997</v>
      </c>
      <c r="AF20" s="22">
        <v>0.60471269000000005</v>
      </c>
      <c r="AG20" s="5">
        <v>-2.9000723000000002</v>
      </c>
      <c r="AH20" s="5">
        <v>2.0105736300000001</v>
      </c>
      <c r="AI20" s="5">
        <v>-4.9511313000000001</v>
      </c>
      <c r="AJ20" s="5">
        <v>4.06163265</v>
      </c>
    </row>
    <row r="21" spans="1:36" ht="15.75">
      <c r="A21">
        <v>4</v>
      </c>
      <c r="B21" s="15">
        <v>406</v>
      </c>
      <c r="C21" s="15">
        <v>-2043</v>
      </c>
      <c r="D21" s="15">
        <v>6692</v>
      </c>
      <c r="E21" s="15">
        <v>23788</v>
      </c>
      <c r="AB21" s="8" t="s">
        <v>65</v>
      </c>
      <c r="AC21" s="8">
        <v>-0.69071539999999998</v>
      </c>
      <c r="AD21" s="8">
        <v>0.36433158999999998</v>
      </c>
      <c r="AE21" s="23">
        <v>-1.8958428000000001</v>
      </c>
      <c r="AF21" s="23">
        <v>0.15426254</v>
      </c>
      <c r="AG21" s="8">
        <v>-1.8501810999999999</v>
      </c>
      <c r="AH21" s="8">
        <v>0.46875029000000001</v>
      </c>
      <c r="AI21" s="8">
        <v>-2.8187432000000001</v>
      </c>
      <c r="AJ21" s="8">
        <v>1.4373123299999999</v>
      </c>
    </row>
    <row r="22" spans="1:36" ht="15.75">
      <c r="V22" t="s">
        <v>66</v>
      </c>
      <c r="AB22" s="5"/>
      <c r="AC22" s="9"/>
      <c r="AD22" s="5"/>
      <c r="AE22" s="9"/>
      <c r="AF22" s="5"/>
      <c r="AG22" s="7"/>
      <c r="AH22" s="7"/>
      <c r="AI22" s="7"/>
      <c r="AJ22" s="7"/>
    </row>
    <row r="23" spans="1:36" ht="15.75">
      <c r="V23" t="s">
        <v>67</v>
      </c>
      <c r="AB23" s="8"/>
      <c r="AC23" s="10"/>
      <c r="AD23" s="8"/>
      <c r="AE23" s="11"/>
      <c r="AF23" s="8"/>
      <c r="AG23" s="11"/>
      <c r="AH23" s="8"/>
      <c r="AI23" s="11"/>
      <c r="AJ23" s="8"/>
    </row>
    <row r="24" spans="1:36">
      <c r="B24" s="14" cm="1">
        <f t="array" ref="B24:E27">+MINVERSE(_xlfn.ANCHORARRAY(B18))</f>
        <v>16.781814379861245</v>
      </c>
      <c r="C24" s="1">
        <v>6.4628446369339676E-2</v>
      </c>
      <c r="D24" s="1">
        <v>-0.22518095932085322</v>
      </c>
      <c r="E24" s="1">
        <v>-0.21752437121725043</v>
      </c>
      <c r="F24" s="13" t="s">
        <v>68</v>
      </c>
    </row>
    <row r="25" spans="1:36">
      <c r="B25" s="1">
        <v>6.4628446369341272E-2</v>
      </c>
      <c r="C25" s="14">
        <v>1.7857833126761584E-2</v>
      </c>
      <c r="D25" s="1">
        <v>-2.8296354659707841E-3</v>
      </c>
      <c r="E25" s="1">
        <v>1.2266825454135637E-3</v>
      </c>
      <c r="V25" t="s">
        <v>69</v>
      </c>
    </row>
    <row r="26" spans="1:36">
      <c r="B26" s="1">
        <v>-0.22518095932085266</v>
      </c>
      <c r="C26" s="1">
        <v>-2.8296354659707711E-3</v>
      </c>
      <c r="D26" s="14">
        <v>1.9791616120327534E-2</v>
      </c>
      <c r="E26" s="1">
        <v>-1.9675033987701356E-3</v>
      </c>
      <c r="V26" t="s">
        <v>70</v>
      </c>
    </row>
    <row r="27" spans="1:36" ht="15.75">
      <c r="B27" s="1">
        <v>-0.21752437121725049</v>
      </c>
      <c r="C27" s="1">
        <v>1.2266825454135869E-3</v>
      </c>
      <c r="D27" s="1">
        <v>-1.9675033987701261E-3</v>
      </c>
      <c r="E27" s="14">
        <v>4.4134664494305254E-3</v>
      </c>
      <c r="AB27" s="5"/>
      <c r="AC27" s="5"/>
      <c r="AD27" s="5"/>
      <c r="AE27" s="5"/>
      <c r="AF27" s="5"/>
      <c r="AG27" s="5"/>
      <c r="AH27" s="5"/>
      <c r="AI27" s="5"/>
      <c r="AJ27" s="5"/>
    </row>
    <row r="28" spans="1:36" ht="15.75">
      <c r="AB28" s="5"/>
      <c r="AC28" s="5"/>
      <c r="AD28" s="5"/>
      <c r="AE28" s="5"/>
      <c r="AF28" s="5"/>
      <c r="AG28" s="5"/>
      <c r="AH28" s="5"/>
      <c r="AI28" s="5"/>
      <c r="AJ28" s="5"/>
    </row>
    <row r="29" spans="1:36" ht="15.75">
      <c r="B29" s="4" cm="1">
        <f t="array" ref="B29:H32">+MMULT(_xlfn.ANCHORARRAY(B24),_xlfn.ANCHORARRAY(B12))</f>
        <v>-2.2097074055766992</v>
      </c>
      <c r="C29" s="4">
        <v>2.8802820753017855</v>
      </c>
      <c r="D29" s="4">
        <v>-1.0894219911323653</v>
      </c>
      <c r="E29" s="4">
        <v>0.95723409609988508</v>
      </c>
      <c r="F29" s="4">
        <v>-0.74962804748161282</v>
      </c>
      <c r="G29" s="4">
        <v>0.28597206470040959</v>
      </c>
      <c r="H29" s="4">
        <v>0.92526920808862556</v>
      </c>
      <c r="I29" s="26"/>
      <c r="J29" s="26"/>
      <c r="K29" s="26"/>
      <c r="L29" s="13" t="s">
        <v>71</v>
      </c>
      <c r="AB29" s="6"/>
      <c r="AC29" s="5"/>
      <c r="AD29" s="5"/>
      <c r="AE29" s="5"/>
      <c r="AF29" s="5"/>
      <c r="AG29" s="5"/>
      <c r="AH29" s="5"/>
      <c r="AI29" s="5"/>
    </row>
    <row r="30" spans="1:36" ht="15.75">
      <c r="B30" s="4">
        <v>-6.6064442161691911E-2</v>
      </c>
      <c r="C30" s="4">
        <v>2.7177824145621157E-3</v>
      </c>
      <c r="D30" s="4">
        <v>6.3372978112167203E-2</v>
      </c>
      <c r="E30" s="4">
        <v>-5.157864955534297E-2</v>
      </c>
      <c r="F30" s="4">
        <v>2.6836507849041104E-2</v>
      </c>
      <c r="G30" s="4">
        <v>-4.1418526977557768E-2</v>
      </c>
      <c r="H30" s="4">
        <v>6.6134350318822366E-2</v>
      </c>
      <c r="I30" s="26"/>
      <c r="J30" s="26"/>
      <c r="K30" s="26"/>
      <c r="AB30" s="5"/>
      <c r="AC30" s="5"/>
      <c r="AD30" s="5"/>
      <c r="AE30" s="5"/>
      <c r="AF30" s="5"/>
      <c r="AG30" s="5"/>
      <c r="AH30" s="5"/>
      <c r="AI30" s="5"/>
      <c r="AJ30" s="5"/>
    </row>
    <row r="31" spans="1:36" ht="15.75">
      <c r="B31" s="4">
        <v>2.6679625719950945E-2</v>
      </c>
      <c r="C31" s="4">
        <v>-7.1908558485575202E-2</v>
      </c>
      <c r="D31" s="4">
        <v>-3.0743551383729389E-2</v>
      </c>
      <c r="E31" s="4">
        <v>7.0324521889888969E-2</v>
      </c>
      <c r="F31" s="4">
        <v>6.305756895617233E-2</v>
      </c>
      <c r="G31" s="4">
        <v>-6.3303069955036706E-2</v>
      </c>
      <c r="H31" s="4">
        <v>5.8934632583287211E-3</v>
      </c>
      <c r="I31" s="26"/>
      <c r="J31" s="26"/>
      <c r="K31" s="26"/>
      <c r="AB31" s="5"/>
      <c r="AC31" s="5"/>
      <c r="AD31" s="5"/>
      <c r="AE31" s="5"/>
      <c r="AF31" s="5"/>
      <c r="AG31" s="5"/>
      <c r="AH31" s="5"/>
      <c r="AI31" s="5"/>
      <c r="AJ31" s="5"/>
    </row>
    <row r="32" spans="1:36" ht="15.75">
      <c r="B32" s="4">
        <v>2.7309210358579639E-2</v>
      </c>
      <c r="C32" s="4">
        <v>-2.659450225803367E-2</v>
      </c>
      <c r="D32" s="4">
        <v>3.5417528524584463E-2</v>
      </c>
      <c r="E32" s="4">
        <v>-3.8406924690821187E-2</v>
      </c>
      <c r="F32" s="4">
        <v>-1.5996631249282078E-4</v>
      </c>
      <c r="G32" s="4">
        <v>1.1892611201260728E-2</v>
      </c>
      <c r="H32" s="4">
        <v>-9.4579568230773181E-3</v>
      </c>
      <c r="I32" s="26"/>
      <c r="J32" s="26"/>
      <c r="K32" s="26"/>
      <c r="AB32" s="5"/>
      <c r="AC32" s="5"/>
      <c r="AD32" s="5"/>
      <c r="AE32" s="5"/>
      <c r="AF32" s="5"/>
      <c r="AG32" s="5"/>
      <c r="AH32" s="5"/>
      <c r="AI32" s="5"/>
      <c r="AJ32" s="5"/>
    </row>
    <row r="33" spans="28:36" ht="15.75">
      <c r="AB33" s="5"/>
      <c r="AC33" s="7"/>
      <c r="AD33" s="5"/>
      <c r="AE33" s="5"/>
      <c r="AF33" s="5"/>
      <c r="AG33" s="5"/>
      <c r="AH33" s="5"/>
      <c r="AI33" s="5"/>
      <c r="AJ33" s="5"/>
    </row>
    <row r="34" spans="28:36" ht="15.75">
      <c r="AB34" s="8"/>
      <c r="AC34" s="8"/>
      <c r="AD34" s="5"/>
      <c r="AE34" s="5"/>
      <c r="AF34" s="5"/>
      <c r="AG34" s="5"/>
      <c r="AH34" s="5"/>
      <c r="AI34" s="5"/>
      <c r="AJ34" s="5"/>
    </row>
    <row r="35" spans="28:36" ht="15.75">
      <c r="AB35" s="5"/>
      <c r="AC35" s="5"/>
      <c r="AD35" s="5"/>
      <c r="AE35" s="5"/>
      <c r="AF35" s="5"/>
      <c r="AG35" s="5"/>
      <c r="AH35" s="5"/>
      <c r="AI35" s="5"/>
      <c r="AJ35" s="5"/>
    </row>
    <row r="36" spans="28:36" ht="15.75">
      <c r="AB36" s="5"/>
      <c r="AC36" s="5"/>
      <c r="AD36" s="5"/>
      <c r="AE36" s="5"/>
      <c r="AF36" s="5"/>
      <c r="AG36" s="5"/>
      <c r="AH36" s="5"/>
      <c r="AI36" s="5"/>
      <c r="AJ36" s="5"/>
    </row>
    <row r="37" spans="28:36" ht="15.75">
      <c r="AB37" s="6"/>
      <c r="AC37" s="6"/>
      <c r="AD37" s="6"/>
      <c r="AE37" s="6"/>
      <c r="AF37" s="6"/>
      <c r="AG37" s="6"/>
      <c r="AH37" s="5"/>
      <c r="AI37" s="5"/>
      <c r="AJ37" s="5"/>
    </row>
    <row r="38" spans="28:36" ht="15.75">
      <c r="AB38" s="5"/>
      <c r="AC38" s="5"/>
      <c r="AD38" s="7"/>
      <c r="AE38" s="7"/>
      <c r="AF38" s="7"/>
      <c r="AG38" s="5"/>
      <c r="AH38" s="5"/>
      <c r="AI38" s="5"/>
      <c r="AJ38" s="5"/>
    </row>
    <row r="39" spans="28:36" ht="15.75">
      <c r="AB39" s="5"/>
      <c r="AC39" s="5"/>
      <c r="AD39" s="7"/>
      <c r="AE39" s="7"/>
      <c r="AF39" s="5"/>
      <c r="AG39" s="5"/>
      <c r="AH39" s="5"/>
      <c r="AI39" s="5"/>
      <c r="AJ39" s="5"/>
    </row>
    <row r="40" spans="28:36" ht="15.75">
      <c r="AB40" s="8"/>
      <c r="AC40" s="8"/>
      <c r="AD40" s="8"/>
      <c r="AE40" s="8"/>
      <c r="AF40" s="8"/>
      <c r="AG40" s="8"/>
      <c r="AH40" s="5"/>
      <c r="AI40" s="5"/>
      <c r="AJ40" s="5"/>
    </row>
    <row r="41" spans="28:36" ht="15.75">
      <c r="AB41" s="5"/>
      <c r="AC41" s="5"/>
      <c r="AD41" s="5"/>
      <c r="AE41" s="5"/>
      <c r="AF41" s="5"/>
      <c r="AG41" s="5"/>
      <c r="AH41" s="5"/>
      <c r="AI41" s="5"/>
      <c r="AJ41" s="5"/>
    </row>
    <row r="42" spans="28:36" ht="15.75">
      <c r="AB42" s="6"/>
      <c r="AC42" s="6"/>
      <c r="AD42" s="6"/>
      <c r="AE42" s="6"/>
      <c r="AF42" s="6"/>
      <c r="AG42" s="6"/>
      <c r="AH42" s="6"/>
      <c r="AI42" s="12"/>
      <c r="AJ42" s="12"/>
    </row>
    <row r="43" spans="28:36" ht="15.75">
      <c r="AB43" s="5"/>
      <c r="AC43" s="7"/>
      <c r="AD43" s="7"/>
      <c r="AE43" s="7"/>
      <c r="AF43" s="5"/>
      <c r="AG43" s="7"/>
      <c r="AH43" s="7"/>
      <c r="AI43" s="7"/>
      <c r="AJ43" s="7"/>
    </row>
    <row r="44" spans="28:36" ht="15.75">
      <c r="AB44" s="5"/>
      <c r="AC44" s="5"/>
      <c r="AD44" s="5"/>
      <c r="AE44" s="5"/>
      <c r="AF44" s="5"/>
      <c r="AG44" s="7"/>
      <c r="AH44" s="7"/>
      <c r="AI44" s="7"/>
      <c r="AJ44" s="7"/>
    </row>
    <row r="45" spans="28:36" ht="15.75">
      <c r="AB45" s="5"/>
      <c r="AC45" s="9"/>
      <c r="AD45" s="5"/>
      <c r="AE45" s="9"/>
      <c r="AF45" s="5"/>
      <c r="AG45" s="7"/>
      <c r="AH45" s="7"/>
      <c r="AI45" s="7"/>
      <c r="AJ45" s="7"/>
    </row>
    <row r="46" spans="28:36" ht="15.75">
      <c r="AB46" s="8"/>
      <c r="AC46" s="10"/>
      <c r="AD46" s="8"/>
      <c r="AE46" s="11"/>
      <c r="AF46" s="8"/>
      <c r="AG46" s="11"/>
      <c r="AH46" s="8"/>
      <c r="AI46" s="11"/>
      <c r="AJ46" s="11"/>
    </row>
    <row r="47" spans="28:36" ht="15.75">
      <c r="AB47" s="5"/>
      <c r="AC47" s="5"/>
      <c r="AD47" s="5"/>
      <c r="AE47" s="5"/>
      <c r="AF47" s="5"/>
      <c r="AG47" s="5"/>
      <c r="AH47" s="5"/>
      <c r="AI47" s="5"/>
      <c r="AJ47" s="5"/>
    </row>
    <row r="48" spans="28:36" ht="15.75">
      <c r="AB48" s="5"/>
      <c r="AC48" s="5"/>
      <c r="AD48" s="5"/>
      <c r="AE48" s="5"/>
      <c r="AF48" s="5"/>
      <c r="AG48" s="5"/>
      <c r="AH48" s="5"/>
      <c r="AI48" s="5"/>
      <c r="AJ48" s="5"/>
    </row>
    <row r="49" spans="28:36" ht="15.75">
      <c r="AB49" s="5"/>
      <c r="AC49" s="5"/>
      <c r="AD49" s="5"/>
      <c r="AE49" s="5"/>
      <c r="AF49" s="5"/>
      <c r="AG49" s="5"/>
      <c r="AH49" s="5"/>
      <c r="AI49" s="5"/>
      <c r="AJ49" s="5"/>
    </row>
  </sheetData>
  <mergeCells count="1">
    <mergeCell ref="U19:W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2144-DEC2-4115-AA68-C1571E00EAFF}">
  <dimension ref="A1:AJ54"/>
  <sheetViews>
    <sheetView tabSelected="1" topLeftCell="G1" zoomScale="144" workbookViewId="0">
      <selection activeCell="P8" sqref="P8"/>
    </sheetView>
  </sheetViews>
  <sheetFormatPr defaultColWidth="9.140625" defaultRowHeight="15"/>
  <cols>
    <col min="1" max="1" width="9.7109375" bestFit="1" customWidth="1"/>
    <col min="2" max="4" width="12.85546875" bestFit="1" customWidth="1"/>
    <col min="5" max="5" width="19.7109375" bestFit="1" customWidth="1"/>
    <col min="6" max="6" width="12.85546875" bestFit="1" customWidth="1"/>
    <col min="7" max="7" width="17.85546875" bestFit="1" customWidth="1"/>
    <col min="9" max="9" width="12.42578125" bestFit="1" customWidth="1"/>
    <col min="12" max="12" width="12" bestFit="1" customWidth="1"/>
    <col min="15" max="15" width="12.42578125" customWidth="1"/>
    <col min="16" max="16" width="12.85546875" bestFit="1" customWidth="1"/>
    <col min="17" max="17" width="14.140625" bestFit="1" customWidth="1"/>
    <col min="18" max="18" width="12.85546875" bestFit="1" customWidth="1"/>
    <col min="19" max="19" width="12.42578125" bestFit="1" customWidth="1"/>
    <col min="20" max="21" width="12.85546875" bestFit="1" customWidth="1"/>
    <col min="28" max="28" width="34.28515625" bestFit="1" customWidth="1"/>
    <col min="29" max="29" width="18.42578125" bestFit="1" customWidth="1"/>
    <col min="30" max="30" width="19.42578125" bestFit="1" customWidth="1"/>
    <col min="31" max="31" width="26.42578125" bestFit="1" customWidth="1"/>
    <col min="32" max="32" width="14.42578125" bestFit="1" customWidth="1"/>
    <col min="33" max="33" width="16.42578125" bestFit="1" customWidth="1"/>
    <col min="34" max="34" width="14.42578125" bestFit="1" customWidth="1"/>
    <col min="35" max="36" width="15.28515625" bestFit="1" customWidth="1"/>
  </cols>
  <sheetData>
    <row r="1" spans="1:36">
      <c r="A1" s="13" t="s">
        <v>76</v>
      </c>
      <c r="B1" s="29" t="s">
        <v>1</v>
      </c>
      <c r="C1" s="29" t="s">
        <v>2</v>
      </c>
      <c r="D1" s="29" t="s">
        <v>3</v>
      </c>
      <c r="E1" s="29" t="s">
        <v>77</v>
      </c>
      <c r="F1" s="13" t="s">
        <v>5</v>
      </c>
      <c r="G1" s="13" t="s">
        <v>78</v>
      </c>
      <c r="H1" s="13" t="s">
        <v>7</v>
      </c>
      <c r="I1" s="13" t="s">
        <v>8</v>
      </c>
      <c r="J1" s="13" t="s">
        <v>9</v>
      </c>
      <c r="K1" s="16" t="s">
        <v>10</v>
      </c>
      <c r="P1" s="13" t="s">
        <v>11</v>
      </c>
      <c r="Q1" s="13" t="s">
        <v>12</v>
      </c>
      <c r="R1" s="13" t="s">
        <v>13</v>
      </c>
      <c r="S1" s="13" t="s">
        <v>14</v>
      </c>
      <c r="T1" t="s">
        <v>15</v>
      </c>
      <c r="U1" t="s">
        <v>16</v>
      </c>
    </row>
    <row r="2" spans="1:36">
      <c r="A2" s="2">
        <v>12</v>
      </c>
      <c r="B2" s="1">
        <v>1</v>
      </c>
      <c r="C2" s="1">
        <v>0.03</v>
      </c>
      <c r="D2" s="1">
        <v>-3</v>
      </c>
      <c r="E2" s="1">
        <v>1</v>
      </c>
      <c r="F2">
        <f>P2+P3*C2+P4*D2+P5*E2</f>
        <v>13.477925718290143</v>
      </c>
      <c r="G2">
        <f>A2-F2</f>
        <v>-1.4779257182901429</v>
      </c>
      <c r="H2">
        <f>G2^2</f>
        <v>2.1842644287834347</v>
      </c>
      <c r="I2">
        <f>SUM(H2+A2)</f>
        <v>14.184264428783434</v>
      </c>
      <c r="J2">
        <f>(A2-$P$6)^2</f>
        <v>25</v>
      </c>
      <c r="K2">
        <f>(F2-$P$6)^2</f>
        <v>12.405007245882006</v>
      </c>
      <c r="O2" s="13" t="s">
        <v>19</v>
      </c>
      <c r="P2" cm="1">
        <f t="array" ref="P2:P5">MMULT(_xlfn.ANCHORARRAY(B29),A2:A8)</f>
        <v>8.7344078486335874</v>
      </c>
      <c r="Q2" s="32">
        <f>SQRT(P9*$B24)</f>
        <v>1.1062816303716507</v>
      </c>
      <c r="R2" s="32">
        <f>(P2-0)/Q2</f>
        <v>7.8952841743375055</v>
      </c>
      <c r="S2" s="32">
        <f>2*_xlfn.T.DIST(-R2,7-4,TRUE)</f>
        <v>4.2348496318421738E-3</v>
      </c>
      <c r="T2" s="32">
        <f>P2+_xlfn.T.INV(0.25,3)*Q2</f>
        <v>7.8882215165076603</v>
      </c>
      <c r="U2" s="32">
        <f>P2+_xlfn.T.INV(0.975,3)*Q2</f>
        <v>12.255089735813083</v>
      </c>
    </row>
    <row r="3" spans="1:36">
      <c r="A3" s="2">
        <v>25</v>
      </c>
      <c r="B3" s="1">
        <v>1</v>
      </c>
      <c r="C3" s="1">
        <v>0.05</v>
      </c>
      <c r="D3" s="1">
        <v>3</v>
      </c>
      <c r="E3" s="1">
        <v>0</v>
      </c>
      <c r="F3">
        <f>P2+P3*(C3)+P4*(D3)+P5*(E3)</f>
        <v>25.293622985283815</v>
      </c>
      <c r="G3">
        <f t="shared" ref="G3:G8" si="0">A3-F3</f>
        <v>-0.29362298528381459</v>
      </c>
      <c r="H3">
        <f t="shared" ref="H3:H8" si="1">G3^2</f>
        <v>8.6214457486979201E-2</v>
      </c>
      <c r="I3">
        <f>SUM(G3:H3)</f>
        <v>-0.20740852779683538</v>
      </c>
      <c r="J3">
        <f t="shared" ref="J3:J8" si="2">(A3-$P$6)^2</f>
        <v>64</v>
      </c>
      <c r="K3">
        <f>(F3-$P$6)^2</f>
        <v>68.784182222028008</v>
      </c>
      <c r="O3" s="13" t="s">
        <v>20</v>
      </c>
      <c r="P3">
        <v>392.57182901191095</v>
      </c>
      <c r="Q3" s="32">
        <f>SQRT(P9*C25)</f>
        <v>28.31093988793975</v>
      </c>
      <c r="R3" s="32">
        <f>(P3-0)/Q3</f>
        <v>13.866435751189725</v>
      </c>
      <c r="S3" s="32">
        <f>2*_xlfn.T.DIST(-R3,7-4,TRUE)</f>
        <v>8.1190306223698455E-4</v>
      </c>
      <c r="T3" s="32">
        <f>P3+_xlfn.T.INV(0.05,3)*Q3</f>
        <v>325.94589827476113</v>
      </c>
      <c r="U3" s="32">
        <f>P3+_xlfn.T.INV(0.975,3)*Q3</f>
        <v>482.66987505739394</v>
      </c>
    </row>
    <row r="4" spans="1:36" ht="15.95">
      <c r="A4" s="2">
        <v>15</v>
      </c>
      <c r="B4" s="1">
        <v>1</v>
      </c>
      <c r="C4" s="1">
        <v>0.01</v>
      </c>
      <c r="D4" s="1">
        <v>-2</v>
      </c>
      <c r="E4" s="1">
        <v>0</v>
      </c>
      <c r="F4">
        <f>P2+P3*C4+P4*D4+P5*E4</f>
        <v>14.706377014716246</v>
      </c>
      <c r="G4">
        <f t="shared" si="0"/>
        <v>0.29362298528375419</v>
      </c>
      <c r="H4">
        <f t="shared" si="1"/>
        <v>8.621445748694373E-2</v>
      </c>
      <c r="I4">
        <f>SUM(G4:H4)</f>
        <v>0.37983744277069792</v>
      </c>
      <c r="J4">
        <f t="shared" si="2"/>
        <v>4</v>
      </c>
      <c r="K4">
        <f t="shared" ref="K4:K8" si="3">(F4-$P$6)^2</f>
        <v>5.2607063986219602</v>
      </c>
      <c r="O4" s="13" t="s">
        <v>21</v>
      </c>
      <c r="P4">
        <v>-1.0231254379817747</v>
      </c>
      <c r="Q4" s="32">
        <f>SQRT(P9*D26)</f>
        <v>0.27941811452589238</v>
      </c>
      <c r="R4" s="32">
        <f>(P4-0)/Q4</f>
        <v>-3.6616288808539879</v>
      </c>
      <c r="S4" s="32">
        <f>2*_xlfn.T.DIST(R4,3,TRUE)</f>
        <v>3.5205043911457817E-2</v>
      </c>
      <c r="T4" s="32">
        <f>P4+_xlfn.T.INV(0.025,3)*Q4</f>
        <v>-1.9123585841840411</v>
      </c>
      <c r="U4" s="32">
        <f t="shared" ref="U3:U5" si="4">P4+_xlfn.T.INV(0.975,3)*Q4</f>
        <v>-0.13389229177950857</v>
      </c>
      <c r="AB4" s="6" t="s">
        <v>22</v>
      </c>
      <c r="AC4" s="5"/>
      <c r="AD4" s="5"/>
      <c r="AE4" s="5"/>
      <c r="AF4" s="5"/>
      <c r="AG4" s="5"/>
      <c r="AH4" s="5"/>
      <c r="AI4" s="5"/>
    </row>
    <row r="5" spans="1:36" ht="15.95">
      <c r="A5" s="2">
        <v>20</v>
      </c>
      <c r="B5" s="1">
        <v>1</v>
      </c>
      <c r="C5" s="1">
        <v>0.05</v>
      </c>
      <c r="D5" s="1">
        <v>-2</v>
      </c>
      <c r="E5" s="1">
        <v>1</v>
      </c>
      <c r="F5">
        <f>P2+P3*C5+P4*D5+P5*E5</f>
        <v>20.306236860546591</v>
      </c>
      <c r="G5">
        <f t="shared" si="0"/>
        <v>-0.30623686054659061</v>
      </c>
      <c r="H5">
        <f t="shared" si="1"/>
        <v>9.3781014757431988E-2</v>
      </c>
      <c r="I5">
        <f>SUM(G5:H5)</f>
        <v>-0.2124558457891586</v>
      </c>
      <c r="J5">
        <f t="shared" si="2"/>
        <v>9</v>
      </c>
      <c r="K5">
        <f t="shared" si="3"/>
        <v>10.931202178036976</v>
      </c>
      <c r="O5" s="13" t="s">
        <v>23</v>
      </c>
      <c r="P5">
        <v>-10.103013314646097</v>
      </c>
      <c r="Q5" s="32">
        <f>SQRT(P9*E27)</f>
        <v>1.2680702316109442</v>
      </c>
      <c r="R5" s="32">
        <f>(P5-0)/Q5</f>
        <v>-7.9672348287928232</v>
      </c>
      <c r="S5" s="32">
        <f>2*_xlfn.T.DIST(R5,7-4,TRUE)</f>
        <v>4.1252476231030642E-3</v>
      </c>
      <c r="T5" s="32">
        <f t="shared" ref="T4:T5" si="5">P5+_xlfn.T.INV(0.05,3)*Q5</f>
        <v>-13.087243430479973</v>
      </c>
      <c r="U5" s="32">
        <f t="shared" si="4"/>
        <v>-6.0674478912155916</v>
      </c>
      <c r="AB5" s="5" t="s">
        <v>24</v>
      </c>
      <c r="AC5" s="5">
        <v>0.81445270999999997</v>
      </c>
      <c r="AD5" s="5"/>
      <c r="AE5" s="5"/>
      <c r="AF5" s="5"/>
      <c r="AG5" s="5"/>
      <c r="AH5" s="5"/>
      <c r="AI5" s="5"/>
      <c r="AJ5" s="5"/>
    </row>
    <row r="6" spans="1:36" ht="15.95">
      <c r="A6" s="2">
        <v>10</v>
      </c>
      <c r="B6" s="1">
        <v>1</v>
      </c>
      <c r="C6" s="1">
        <v>0.02</v>
      </c>
      <c r="D6" s="1">
        <v>-3</v>
      </c>
      <c r="E6" s="1">
        <v>1</v>
      </c>
      <c r="F6">
        <f>P2+(P3*C6)+(P4*D6)+(P5*E6)</f>
        <v>9.5522074281710321</v>
      </c>
      <c r="G6">
        <f t="shared" si="0"/>
        <v>0.44779257182896792</v>
      </c>
      <c r="H6">
        <f t="shared" si="1"/>
        <v>0.20051818738520139</v>
      </c>
      <c r="I6">
        <f>SUM(G6:H6)</f>
        <v>0.64831075921416925</v>
      </c>
      <c r="J6">
        <f t="shared" si="2"/>
        <v>49</v>
      </c>
      <c r="K6">
        <f t="shared" si="3"/>
        <v>55.469614192990754</v>
      </c>
      <c r="O6" t="s">
        <v>25</v>
      </c>
      <c r="P6">
        <f>AVERAGE(A2:A8)</f>
        <v>17</v>
      </c>
      <c r="AB6" s="5" t="s">
        <v>26</v>
      </c>
      <c r="AC6" s="5">
        <v>0.66333321000000001</v>
      </c>
      <c r="AD6" s="5"/>
      <c r="AE6" s="5"/>
      <c r="AF6" s="5"/>
      <c r="AG6" s="5"/>
      <c r="AH6" s="5"/>
      <c r="AI6" s="5"/>
      <c r="AJ6" s="5"/>
    </row>
    <row r="7" spans="1:36" ht="15.95">
      <c r="A7" s="2">
        <v>11</v>
      </c>
      <c r="B7" s="1">
        <v>1</v>
      </c>
      <c r="C7" s="1">
        <v>0.03</v>
      </c>
      <c r="D7" s="1">
        <v>0</v>
      </c>
      <c r="E7" s="1">
        <v>1</v>
      </c>
      <c r="F7">
        <f>P2+P3*(C7)+P4*(D7)+P5*(E7)</f>
        <v>10.40854940434482</v>
      </c>
      <c r="G7">
        <f t="shared" si="0"/>
        <v>0.59145059565518032</v>
      </c>
      <c r="H7">
        <f t="shared" si="1"/>
        <v>0.34981380710086762</v>
      </c>
      <c r="I7">
        <f>SUM(G7,H7)</f>
        <v>0.94126440275604795</v>
      </c>
      <c r="J7">
        <f t="shared" si="2"/>
        <v>36</v>
      </c>
      <c r="K7">
        <f t="shared" si="3"/>
        <v>43.447220954963029</v>
      </c>
      <c r="AB7" s="5" t="s">
        <v>28</v>
      </c>
      <c r="AC7" s="5">
        <v>0.32666642000000001</v>
      </c>
      <c r="AD7" s="5"/>
      <c r="AE7" s="5"/>
      <c r="AF7" s="5"/>
      <c r="AG7" s="5"/>
      <c r="AH7" s="5"/>
      <c r="AI7" s="5"/>
      <c r="AJ7" s="5"/>
    </row>
    <row r="8" spans="1:36" ht="15.95">
      <c r="A8" s="2">
        <v>26</v>
      </c>
      <c r="B8" s="1">
        <v>1</v>
      </c>
      <c r="C8" s="1">
        <v>0.06</v>
      </c>
      <c r="D8" s="1">
        <v>-3</v>
      </c>
      <c r="E8" s="1">
        <v>1</v>
      </c>
      <c r="F8">
        <f>P2+P3*(C8)+P4*(D8)+P5*(E8)</f>
        <v>25.255080588647473</v>
      </c>
      <c r="G8">
        <f t="shared" si="0"/>
        <v>0.74491941135252659</v>
      </c>
      <c r="H8">
        <f t="shared" si="1"/>
        <v>0.55490492940979474</v>
      </c>
      <c r="I8">
        <f>SUM(G8,H8)</f>
        <v>1.2998243407623213</v>
      </c>
      <c r="J8">
        <f t="shared" si="2"/>
        <v>81</v>
      </c>
      <c r="K8">
        <f t="shared" si="3"/>
        <v>68.146355525064322</v>
      </c>
      <c r="O8" s="13" t="s">
        <v>29</v>
      </c>
      <c r="P8" s="32">
        <f>SUM(H2:H8)</f>
        <v>3.5557112824106536</v>
      </c>
      <c r="Q8">
        <v>90</v>
      </c>
      <c r="AB8" s="5" t="s">
        <v>30</v>
      </c>
      <c r="AC8" s="5">
        <v>5.4841194900000003</v>
      </c>
      <c r="AD8" s="5"/>
      <c r="AE8" s="5"/>
      <c r="AF8" s="5"/>
      <c r="AG8" s="5"/>
      <c r="AH8" s="5"/>
      <c r="AI8" s="5"/>
      <c r="AJ8" s="5"/>
    </row>
    <row r="9" spans="1:36" ht="15.95">
      <c r="G9" s="27">
        <f>SUM(G2:G8)</f>
        <v>-1.1901590823981678E-13</v>
      </c>
      <c r="O9" s="16" t="s">
        <v>31</v>
      </c>
      <c r="P9" s="32">
        <f>P8/(7-4)</f>
        <v>1.1852370941368846</v>
      </c>
      <c r="Q9">
        <v>30</v>
      </c>
      <c r="AB9" s="8" t="s">
        <v>32</v>
      </c>
      <c r="AC9" s="8">
        <v>7</v>
      </c>
      <c r="AD9" s="5"/>
      <c r="AE9" s="5"/>
      <c r="AF9" s="5"/>
      <c r="AG9" s="5"/>
      <c r="AH9" s="5"/>
      <c r="AI9" s="5"/>
      <c r="AJ9" s="5"/>
    </row>
    <row r="10" spans="1:36" ht="15.95">
      <c r="G10">
        <f>AVERAGE(G2:G8)</f>
        <v>-1.7002272605688111E-14</v>
      </c>
      <c r="H10">
        <f>_xlfn.VAR.S(G2:G8)</f>
        <v>0.5926185470684423</v>
      </c>
      <c r="O10" s="16" t="s">
        <v>10</v>
      </c>
      <c r="P10" s="32">
        <f>SUM(K2:K8)</f>
        <v>264.44428871758703</v>
      </c>
      <c r="Q10">
        <v>177</v>
      </c>
      <c r="AB10" s="5"/>
      <c r="AC10" s="5"/>
      <c r="AD10" s="5"/>
      <c r="AE10" s="5"/>
      <c r="AF10" s="5"/>
      <c r="AG10" s="5"/>
      <c r="AH10" s="5"/>
      <c r="AI10" s="5"/>
      <c r="AJ10" s="5"/>
    </row>
    <row r="11" spans="1:36" ht="15.95">
      <c r="O11" s="16" t="s">
        <v>9</v>
      </c>
      <c r="P11" s="32">
        <f>SUM(J2:J8)</f>
        <v>268</v>
      </c>
      <c r="Q11">
        <f>P10+P8</f>
        <v>267.99999999999767</v>
      </c>
      <c r="AB11" s="5" t="s">
        <v>33</v>
      </c>
      <c r="AC11" s="5"/>
      <c r="AD11" s="5"/>
      <c r="AE11" s="5"/>
      <c r="AF11" s="5"/>
      <c r="AG11" s="5"/>
      <c r="AH11" s="5"/>
      <c r="AI11" s="5"/>
      <c r="AJ11" s="5"/>
    </row>
    <row r="12" spans="1:36" ht="15.95">
      <c r="B12" s="3" cm="1">
        <f t="array" ref="B12:H15">TRANSPOSE(B2:E8)</f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13" t="s">
        <v>34</v>
      </c>
      <c r="O12" s="13" t="s">
        <v>35</v>
      </c>
      <c r="P12" s="32">
        <f xml:space="preserve"> 1 - (P8/P11)</f>
        <v>0.98673242058801991</v>
      </c>
      <c r="AB12" s="6" t="s">
        <v>36</v>
      </c>
      <c r="AC12" s="6" t="s">
        <v>79</v>
      </c>
      <c r="AD12" s="6" t="s">
        <v>38</v>
      </c>
      <c r="AE12" s="6" t="s">
        <v>39</v>
      </c>
      <c r="AF12" s="6" t="s">
        <v>80</v>
      </c>
      <c r="AG12" s="6" t="s">
        <v>41</v>
      </c>
      <c r="AH12" s="5"/>
      <c r="AI12" s="5"/>
      <c r="AJ12" s="5"/>
    </row>
    <row r="13" spans="1:36" ht="15.95">
      <c r="B13" s="3">
        <v>0.03</v>
      </c>
      <c r="C13" s="3">
        <v>0.05</v>
      </c>
      <c r="D13" s="3">
        <v>0.01</v>
      </c>
      <c r="E13" s="3">
        <v>0.05</v>
      </c>
      <c r="F13" s="3">
        <v>0.02</v>
      </c>
      <c r="G13" s="3">
        <v>0.03</v>
      </c>
      <c r="H13" s="3">
        <v>0.06</v>
      </c>
      <c r="O13" s="13" t="s">
        <v>42</v>
      </c>
      <c r="P13" s="32">
        <f>1-(6/(7-3-1))*(1-P12)</f>
        <v>0.97346484117603982</v>
      </c>
      <c r="AB13" s="5" t="s">
        <v>43</v>
      </c>
      <c r="AC13" s="5">
        <v>3</v>
      </c>
      <c r="AD13" s="5">
        <v>177.77330000000001</v>
      </c>
      <c r="AE13" s="5">
        <v>59.257766799999999</v>
      </c>
      <c r="AF13" s="5">
        <v>1.9702959499999999</v>
      </c>
      <c r="AG13" s="5">
        <v>0.29579791999999999</v>
      </c>
      <c r="AI13" s="5"/>
      <c r="AJ13" s="5"/>
    </row>
    <row r="14" spans="1:36" ht="15.95">
      <c r="B14" s="3">
        <v>-3</v>
      </c>
      <c r="C14" s="3">
        <v>3</v>
      </c>
      <c r="D14" s="3">
        <v>-2</v>
      </c>
      <c r="E14" s="3">
        <v>-2</v>
      </c>
      <c r="F14" s="3">
        <v>-3</v>
      </c>
      <c r="G14" s="3">
        <v>0</v>
      </c>
      <c r="H14" s="3">
        <v>-3</v>
      </c>
      <c r="O14" s="17"/>
      <c r="P14" s="18">
        <f>(P10/3)</f>
        <v>88.148096239195681</v>
      </c>
      <c r="Q14" s="17" t="s">
        <v>45</v>
      </c>
      <c r="R14" s="18">
        <f>P8/3</f>
        <v>1.1852370941368846</v>
      </c>
      <c r="S14" t="s">
        <v>46</v>
      </c>
      <c r="AB14" s="5" t="s">
        <v>47</v>
      </c>
      <c r="AC14" s="5">
        <v>3</v>
      </c>
      <c r="AD14" s="5">
        <v>90.226699600000003</v>
      </c>
      <c r="AE14" s="5">
        <v>30.075566500000001</v>
      </c>
      <c r="AF14" s="5"/>
      <c r="AG14" s="5"/>
      <c r="AH14" s="5"/>
      <c r="AI14" s="5"/>
      <c r="AJ14" s="5"/>
    </row>
    <row r="15" spans="1:36" ht="15.95">
      <c r="B15" s="3">
        <v>1</v>
      </c>
      <c r="C15" s="3">
        <v>0</v>
      </c>
      <c r="D15" s="3">
        <v>0</v>
      </c>
      <c r="E15" s="3">
        <v>1</v>
      </c>
      <c r="F15" s="3">
        <v>1</v>
      </c>
      <c r="G15" s="3">
        <v>1</v>
      </c>
      <c r="H15" s="3">
        <v>1</v>
      </c>
      <c r="O15" s="13" t="s">
        <v>49</v>
      </c>
      <c r="P15">
        <f>P14/R14</f>
        <v>74.371698856916922</v>
      </c>
      <c r="AB15" s="8" t="s">
        <v>50</v>
      </c>
      <c r="AC15" s="8">
        <v>6</v>
      </c>
      <c r="AD15" s="8">
        <v>268</v>
      </c>
      <c r="AE15" s="8" t="s">
        <v>36</v>
      </c>
      <c r="AF15" s="8" t="s">
        <v>36</v>
      </c>
      <c r="AG15" s="8" t="s">
        <v>36</v>
      </c>
      <c r="AH15" s="5"/>
      <c r="AI15" s="5"/>
      <c r="AJ15" s="5"/>
    </row>
    <row r="16" spans="1:36" ht="15.95">
      <c r="O16" s="13" t="s">
        <v>14</v>
      </c>
      <c r="P16">
        <f>1-_xlfn.F.DIST(P15,3,3,TRUE)</f>
        <v>2.58404579101712E-3</v>
      </c>
      <c r="AB16" s="5"/>
      <c r="AC16" s="5"/>
      <c r="AD16" s="5"/>
      <c r="AE16" s="5"/>
      <c r="AF16" s="5"/>
      <c r="AG16" s="5"/>
      <c r="AH16" s="5"/>
      <c r="AI16" s="5"/>
      <c r="AJ16" s="5"/>
    </row>
    <row r="17" spans="2:36" ht="15.95">
      <c r="AB17" s="6" t="s">
        <v>36</v>
      </c>
      <c r="AC17" s="6" t="s">
        <v>52</v>
      </c>
      <c r="AD17" s="6" t="s">
        <v>30</v>
      </c>
      <c r="AE17" s="6" t="s">
        <v>53</v>
      </c>
      <c r="AF17" s="6" t="s">
        <v>54</v>
      </c>
      <c r="AG17" s="6" t="s">
        <v>55</v>
      </c>
      <c r="AH17" s="6" t="s">
        <v>56</v>
      </c>
      <c r="AI17" s="6" t="s">
        <v>57</v>
      </c>
      <c r="AJ17" s="6" t="s">
        <v>58</v>
      </c>
    </row>
    <row r="18" spans="2:36" ht="15.95">
      <c r="B18" s="15" cm="1">
        <f t="array" ref="B18:E21">MMULT(_xlfn.ANCHORARRAY(B12),B2:E8)</f>
        <v>7</v>
      </c>
      <c r="C18" s="15">
        <v>0.25</v>
      </c>
      <c r="D18" s="15">
        <v>-10</v>
      </c>
      <c r="E18" s="15">
        <v>5</v>
      </c>
      <c r="F18" s="13" t="s">
        <v>59</v>
      </c>
      <c r="G18" t="s">
        <v>60</v>
      </c>
      <c r="I18">
        <f>MDETERM(_xlfn.ANCHORARRAY(B18))</f>
        <v>0.28539999999999988</v>
      </c>
      <c r="AB18" s="5" t="s">
        <v>61</v>
      </c>
      <c r="AC18" s="5">
        <v>68.000326700000002</v>
      </c>
      <c r="AD18" s="5">
        <v>22.466031600000001</v>
      </c>
      <c r="AE18" s="5">
        <v>3.0268063399999998</v>
      </c>
      <c r="AF18" s="5">
        <v>5.6453629999999998E-2</v>
      </c>
      <c r="AG18" s="5">
        <v>-3.4966124999999999</v>
      </c>
      <c r="AH18" s="5">
        <v>139.497266</v>
      </c>
      <c r="AI18" s="5">
        <v>-63.221725999999997</v>
      </c>
      <c r="AJ18" s="5">
        <v>199.22237999999999</v>
      </c>
    </row>
    <row r="19" spans="2:36" ht="15.95">
      <c r="B19" s="15">
        <v>0.25</v>
      </c>
      <c r="C19" s="15">
        <v>1.09E-2</v>
      </c>
      <c r="D19" s="15">
        <v>-0.3</v>
      </c>
      <c r="E19" s="15">
        <v>0.19</v>
      </c>
      <c r="AB19" s="5" t="s">
        <v>63</v>
      </c>
      <c r="AC19" s="5">
        <v>0.72644732999999995</v>
      </c>
      <c r="AD19" s="5">
        <v>0.73286046000000005</v>
      </c>
      <c r="AE19" s="5">
        <v>0.99124917999999995</v>
      </c>
      <c r="AF19" s="5">
        <v>0.39463651</v>
      </c>
      <c r="AG19" s="5">
        <v>-1.6058417</v>
      </c>
      <c r="AH19" s="5">
        <v>3.05873638</v>
      </c>
      <c r="AI19" s="5">
        <v>-3.5541241000000001</v>
      </c>
      <c r="AJ19" s="5">
        <v>5.0070187900000001</v>
      </c>
    </row>
    <row r="20" spans="2:36" ht="15.95">
      <c r="B20" s="15">
        <v>-10</v>
      </c>
      <c r="C20" s="15">
        <v>-0.3</v>
      </c>
      <c r="D20" s="15">
        <v>44</v>
      </c>
      <c r="E20" s="15">
        <v>-11</v>
      </c>
      <c r="AB20" s="5" t="s">
        <v>64</v>
      </c>
      <c r="AC20" s="5">
        <v>-0.44474930000000001</v>
      </c>
      <c r="AD20" s="5">
        <v>0.77152061999999999</v>
      </c>
      <c r="AE20" s="5">
        <v>-0.57645809999999997</v>
      </c>
      <c r="AF20" s="5">
        <v>0.60471269000000005</v>
      </c>
      <c r="AG20" s="5">
        <v>-2.9000723000000002</v>
      </c>
      <c r="AH20" s="5">
        <v>2.0105736300000001</v>
      </c>
      <c r="AI20" s="5">
        <v>-4.9511313000000001</v>
      </c>
      <c r="AJ20" s="5">
        <v>4.06163265</v>
      </c>
    </row>
    <row r="21" spans="2:36" ht="15.95">
      <c r="B21" s="15">
        <v>5</v>
      </c>
      <c r="C21" s="15">
        <v>0.19</v>
      </c>
      <c r="D21" s="15">
        <v>-11</v>
      </c>
      <c r="E21" s="15">
        <v>5</v>
      </c>
      <c r="AB21" s="8" t="s">
        <v>65</v>
      </c>
      <c r="AC21" s="8">
        <v>-0.69071539999999998</v>
      </c>
      <c r="AD21" s="8">
        <v>0.36433158999999998</v>
      </c>
      <c r="AE21" s="8">
        <v>-1.8958428000000001</v>
      </c>
      <c r="AF21" s="8">
        <v>0.15426254</v>
      </c>
      <c r="AG21" s="8">
        <v>-1.8501810999999999</v>
      </c>
      <c r="AH21" s="8">
        <v>0.46875029000000001</v>
      </c>
      <c r="AI21" s="8">
        <v>-2.8187432000000001</v>
      </c>
      <c r="AJ21" s="8">
        <v>1.4373123299999999</v>
      </c>
    </row>
    <row r="22" spans="2:36" ht="15.95">
      <c r="AB22" s="5"/>
      <c r="AC22" s="9"/>
      <c r="AD22" s="5"/>
      <c r="AE22" s="9"/>
      <c r="AF22" s="5"/>
      <c r="AG22" s="7"/>
      <c r="AH22" s="7"/>
      <c r="AI22" s="7"/>
      <c r="AJ22" s="7"/>
    </row>
    <row r="23" spans="2:36" ht="15.95">
      <c r="I23" t="s">
        <v>81</v>
      </c>
      <c r="AB23" s="8"/>
      <c r="AC23" s="10"/>
      <c r="AD23" s="8"/>
      <c r="AE23" s="11"/>
      <c r="AF23" s="8"/>
      <c r="AG23" s="11"/>
      <c r="AH23" s="8"/>
      <c r="AI23" s="11"/>
      <c r="AJ23" s="8"/>
    </row>
    <row r="24" spans="2:36">
      <c r="B24" s="14" cm="1">
        <f t="array" ref="B24:E27">MINVERSE(_xlfn.ANCHORARRAY(B18))</f>
        <v>1.0325858444288722</v>
      </c>
      <c r="C24" s="1">
        <v>-18.745620182200419</v>
      </c>
      <c r="D24" s="1">
        <v>5.956552207428141E-2</v>
      </c>
      <c r="E24" s="1">
        <v>-0.18920812894183622</v>
      </c>
      <c r="F24" s="13" t="s">
        <v>68</v>
      </c>
      <c r="I24">
        <f>P9*B24</f>
        <v>1.2238590456977578</v>
      </c>
    </row>
    <row r="25" spans="2:36">
      <c r="B25" s="1">
        <v>-18.745620182200433</v>
      </c>
      <c r="C25" s="14">
        <v>676.24386825508066</v>
      </c>
      <c r="D25" s="1">
        <v>-3.083391730903986</v>
      </c>
      <c r="E25" s="1">
        <v>-13.735108619481426</v>
      </c>
      <c r="I25">
        <f>C25*P9</f>
        <v>801.50931733853804</v>
      </c>
    </row>
    <row r="26" spans="2:36">
      <c r="B26" s="1">
        <v>5.9565522074281778E-2</v>
      </c>
      <c r="C26" s="1">
        <v>-3.0833917309039949</v>
      </c>
      <c r="D26" s="14">
        <v>6.5872459705676234E-2</v>
      </c>
      <c r="E26" s="1">
        <v>0.20252277505255778</v>
      </c>
      <c r="I26">
        <f>D26*P9</f>
        <v>7.8074482725204716E-2</v>
      </c>
    </row>
    <row r="27" spans="2:36" ht="15.95">
      <c r="B27" s="1">
        <v>-0.18920812894183586</v>
      </c>
      <c r="C27" s="1">
        <v>-13.735108619481432</v>
      </c>
      <c r="D27" s="1">
        <v>0.20252277505255781</v>
      </c>
      <c r="E27" s="14">
        <v>1.3566923615977575</v>
      </c>
      <c r="I27">
        <f>E27*P9</f>
        <v>1.6080021122978336</v>
      </c>
      <c r="AB27" s="5"/>
      <c r="AC27" s="5"/>
      <c r="AD27" s="5"/>
      <c r="AE27" s="5"/>
      <c r="AF27" s="5"/>
      <c r="AG27" s="5"/>
      <c r="AH27" s="5"/>
      <c r="AI27" s="5"/>
      <c r="AJ27" s="5"/>
    </row>
    <row r="28" spans="2:36" ht="15.95">
      <c r="AB28" s="5"/>
      <c r="AC28" s="5"/>
      <c r="AD28" s="5"/>
      <c r="AE28" s="5"/>
      <c r="AF28" s="5"/>
      <c r="AG28" s="5"/>
      <c r="AH28" s="5"/>
      <c r="AI28" s="5"/>
      <c r="AJ28" s="5"/>
    </row>
    <row r="29" spans="2:36" ht="15.95">
      <c r="B29" s="4" cm="1">
        <f t="array" ref="B29:H32">MMULT(_xlfn.ANCHORARRAY(B24),_xlfn.ANCHORARRAY(B12))</f>
        <v>0.10231254379817925</v>
      </c>
      <c r="C29" s="4">
        <v>0.2740014015416955</v>
      </c>
      <c r="D29" s="4">
        <v>0.72599859845830528</v>
      </c>
      <c r="E29" s="4">
        <v>-0.21303433777154779</v>
      </c>
      <c r="F29" s="4">
        <v>0.2897687456201834</v>
      </c>
      <c r="G29" s="4">
        <v>0.28100911002102347</v>
      </c>
      <c r="H29" s="4">
        <v>-0.4600560616678333</v>
      </c>
      <c r="I29" s="4"/>
      <c r="J29" s="4"/>
      <c r="K29" s="4"/>
      <c r="L29" s="13" t="s">
        <v>71</v>
      </c>
      <c r="AB29" s="6"/>
      <c r="AC29" s="5"/>
      <c r="AD29" s="5"/>
      <c r="AE29" s="5"/>
      <c r="AF29" s="5"/>
      <c r="AG29" s="5"/>
      <c r="AH29" s="5"/>
      <c r="AI29" s="5"/>
    </row>
    <row r="30" spans="2:36" ht="15.95">
      <c r="B30" s="4">
        <v>-2.9432375613174848</v>
      </c>
      <c r="C30" s="4">
        <v>5.816398037841644</v>
      </c>
      <c r="D30" s="4">
        <v>-5.8163980378416547</v>
      </c>
      <c r="E30" s="4">
        <v>7.4982480728801484</v>
      </c>
      <c r="F30" s="4">
        <v>-9.7056762438682895</v>
      </c>
      <c r="G30" s="4">
        <v>-12.193412754029442</v>
      </c>
      <c r="H30" s="4">
        <v>17.344078486334933</v>
      </c>
      <c r="I30" s="4"/>
      <c r="J30" s="4"/>
      <c r="K30" s="4"/>
      <c r="AB30" s="5"/>
      <c r="AC30" s="5"/>
      <c r="AD30" s="5"/>
      <c r="AE30" s="5"/>
      <c r="AF30" s="5"/>
      <c r="AG30" s="5"/>
      <c r="AH30" s="5"/>
      <c r="AI30" s="5"/>
      <c r="AJ30" s="5"/>
    </row>
    <row r="31" spans="2:36" ht="15.95">
      <c r="B31" s="4">
        <v>-2.8030833917308984E-2</v>
      </c>
      <c r="C31" s="4">
        <v>0.10301331464611074</v>
      </c>
      <c r="D31" s="4">
        <v>-0.10301331464611063</v>
      </c>
      <c r="E31" s="4">
        <v>-2.3826208829712647E-2</v>
      </c>
      <c r="F31" s="4">
        <v>2.803083391730965E-3</v>
      </c>
      <c r="G31" s="4">
        <v>0.16958654519971972</v>
      </c>
      <c r="H31" s="4">
        <v>-0.12053258584442883</v>
      </c>
      <c r="I31" s="4"/>
      <c r="J31" s="4"/>
      <c r="K31" s="4"/>
      <c r="AB31" s="5"/>
      <c r="AC31" s="5"/>
      <c r="AD31" s="5"/>
      <c r="AE31" s="5"/>
      <c r="AF31" s="5"/>
      <c r="AG31" s="5"/>
      <c r="AH31" s="5"/>
      <c r="AI31" s="5"/>
      <c r="AJ31" s="5"/>
    </row>
    <row r="32" spans="2:36" ht="15.95">
      <c r="B32" s="4">
        <v>0.14786264891380529</v>
      </c>
      <c r="C32" s="4">
        <v>-0.26839523475823401</v>
      </c>
      <c r="D32" s="4">
        <v>-0.73160476524176588</v>
      </c>
      <c r="E32" s="4">
        <v>7.56832515767345E-2</v>
      </c>
      <c r="F32" s="4">
        <v>0.28521373510861969</v>
      </c>
      <c r="G32" s="4">
        <v>0.75543097407147874</v>
      </c>
      <c r="H32" s="4">
        <v>-0.26419060967063746</v>
      </c>
      <c r="I32" s="4"/>
      <c r="J32" s="4"/>
      <c r="K32" s="4"/>
      <c r="AB32" s="5"/>
      <c r="AC32" s="5"/>
      <c r="AD32" s="5"/>
      <c r="AE32" s="5"/>
      <c r="AF32" s="5"/>
      <c r="AG32" s="5"/>
      <c r="AH32" s="5"/>
      <c r="AI32" s="5"/>
      <c r="AJ32" s="5"/>
    </row>
    <row r="33" spans="13:36" ht="15.95">
      <c r="AB33" s="5"/>
      <c r="AC33" s="7"/>
      <c r="AD33" s="5"/>
      <c r="AE33" s="5"/>
      <c r="AF33" s="5"/>
      <c r="AG33" s="5"/>
      <c r="AH33" s="5"/>
      <c r="AI33" s="5"/>
      <c r="AJ33" s="5"/>
    </row>
    <row r="34" spans="13:36" ht="15.95">
      <c r="AB34" s="8"/>
      <c r="AC34" s="8"/>
      <c r="AD34" s="5"/>
      <c r="AE34" s="5"/>
      <c r="AF34" s="5"/>
      <c r="AG34" s="5"/>
      <c r="AH34" s="5"/>
      <c r="AI34" s="5"/>
      <c r="AJ34" s="5"/>
    </row>
    <row r="35" spans="13:36" ht="15.95">
      <c r="AB35" s="5"/>
      <c r="AC35" s="5"/>
      <c r="AD35" s="5"/>
      <c r="AE35" s="5"/>
      <c r="AF35" s="5"/>
      <c r="AG35" s="5"/>
      <c r="AH35" s="5"/>
      <c r="AI35" s="5"/>
      <c r="AJ35" s="5"/>
    </row>
    <row r="36" spans="13:36" ht="15.95">
      <c r="AB36" s="5"/>
      <c r="AC36" s="5"/>
      <c r="AD36" s="5"/>
      <c r="AE36" s="5"/>
      <c r="AF36" s="5"/>
      <c r="AG36" s="5"/>
      <c r="AH36" s="5"/>
      <c r="AI36" s="5"/>
      <c r="AJ36" s="5"/>
    </row>
    <row r="37" spans="13:36" ht="15.95">
      <c r="AB37" s="6"/>
      <c r="AC37" s="6"/>
      <c r="AD37" s="6"/>
      <c r="AE37" s="6"/>
      <c r="AF37" s="6"/>
      <c r="AG37" s="6"/>
      <c r="AH37" s="5"/>
      <c r="AI37" s="5"/>
      <c r="AJ37" s="5"/>
    </row>
    <row r="38" spans="13:36" ht="14.25" customHeight="1">
      <c r="M38" t="s">
        <v>82</v>
      </c>
      <c r="AB38" s="5"/>
      <c r="AC38" s="5"/>
      <c r="AD38" s="7"/>
      <c r="AE38" s="7"/>
      <c r="AF38" s="7"/>
      <c r="AG38" s="5"/>
      <c r="AH38" s="5"/>
      <c r="AI38" s="5"/>
      <c r="AJ38" s="5"/>
    </row>
    <row r="39" spans="13:36" ht="15.95">
      <c r="AB39" s="5"/>
      <c r="AC39" s="5"/>
      <c r="AD39" s="7"/>
      <c r="AE39" s="7"/>
      <c r="AF39" s="5"/>
      <c r="AG39" s="5"/>
      <c r="AH39" s="5"/>
      <c r="AI39" s="5"/>
      <c r="AJ39" s="5"/>
    </row>
    <row r="40" spans="13:36" ht="15.95">
      <c r="AB40" s="8"/>
      <c r="AC40" s="8"/>
      <c r="AD40" s="8"/>
      <c r="AE40" s="8"/>
      <c r="AF40" s="8"/>
      <c r="AG40" s="8"/>
      <c r="AH40" s="5"/>
      <c r="AI40" s="5"/>
      <c r="AJ40" s="5"/>
    </row>
    <row r="41" spans="13:36" ht="15.95">
      <c r="AB41" s="5"/>
      <c r="AC41" s="5"/>
      <c r="AD41" s="5"/>
      <c r="AE41" s="5"/>
      <c r="AF41" s="5"/>
      <c r="AG41" s="5"/>
      <c r="AH41" s="5"/>
      <c r="AI41" s="5"/>
      <c r="AJ41" s="5"/>
    </row>
    <row r="42" spans="13:36" ht="15.95">
      <c r="AB42" s="6"/>
      <c r="AC42" s="6"/>
      <c r="AD42" s="6"/>
      <c r="AE42" s="6"/>
      <c r="AF42" s="6"/>
      <c r="AG42" s="6"/>
      <c r="AH42" s="6"/>
      <c r="AI42" s="12"/>
      <c r="AJ42" s="12"/>
    </row>
    <row r="43" spans="13:36" ht="15.95">
      <c r="AB43" s="5"/>
      <c r="AC43" s="7"/>
      <c r="AD43" s="7"/>
      <c r="AE43" s="7"/>
      <c r="AF43" s="5"/>
      <c r="AG43" s="7"/>
      <c r="AH43" s="7"/>
      <c r="AI43" s="7"/>
      <c r="AJ43" s="7"/>
    </row>
    <row r="44" spans="13:36" ht="15.95">
      <c r="AB44" s="5"/>
      <c r="AC44" s="5"/>
      <c r="AD44" s="5"/>
      <c r="AE44" s="5"/>
      <c r="AF44" s="5"/>
      <c r="AG44" s="7"/>
      <c r="AH44" s="7"/>
      <c r="AI44" s="7"/>
      <c r="AJ44" s="7"/>
    </row>
    <row r="45" spans="13:36" ht="15.95">
      <c r="AB45" s="5"/>
      <c r="AC45" s="9"/>
      <c r="AD45" s="5"/>
      <c r="AE45" s="9"/>
      <c r="AF45" s="5"/>
      <c r="AG45" s="7"/>
      <c r="AH45" s="7"/>
      <c r="AI45" s="7"/>
      <c r="AJ45" s="7"/>
    </row>
    <row r="46" spans="13:36" ht="15.95">
      <c r="AB46" s="8"/>
      <c r="AC46" s="10"/>
      <c r="AD46" s="8"/>
      <c r="AE46" s="11"/>
      <c r="AF46" s="8"/>
      <c r="AG46" s="11"/>
      <c r="AH46" s="8"/>
      <c r="AI46" s="11"/>
      <c r="AJ46" s="11"/>
    </row>
    <row r="47" spans="13:36" ht="15.95">
      <c r="AB47" s="5"/>
      <c r="AC47" s="5"/>
      <c r="AD47" s="5"/>
      <c r="AE47" s="5"/>
      <c r="AF47" s="5"/>
      <c r="AG47" s="5"/>
      <c r="AH47" s="5"/>
      <c r="AI47" s="5"/>
      <c r="AJ47" s="5"/>
    </row>
    <row r="48" spans="13:36" ht="15.95">
      <c r="AB48" s="5"/>
      <c r="AC48" s="5"/>
      <c r="AD48" s="5"/>
      <c r="AE48" s="5"/>
      <c r="AF48" s="5"/>
      <c r="AG48" s="5"/>
      <c r="AH48" s="5"/>
      <c r="AI48" s="5"/>
      <c r="AJ48" s="5"/>
    </row>
    <row r="49" spans="13:36" ht="15.95">
      <c r="AB49" s="5"/>
      <c r="AC49" s="5"/>
      <c r="AD49" s="5"/>
      <c r="AE49" s="5"/>
      <c r="AF49" s="5"/>
      <c r="AG49" s="5"/>
      <c r="AH49" s="5"/>
      <c r="AI49" s="5"/>
      <c r="AJ49" s="5"/>
    </row>
    <row r="53" spans="13:36">
      <c r="M53" s="34" t="s">
        <v>83</v>
      </c>
      <c r="N53" s="34"/>
      <c r="O53" s="34"/>
    </row>
    <row r="54" spans="13:36">
      <c r="M54" s="34"/>
      <c r="N54" s="34"/>
      <c r="O54" s="34"/>
    </row>
  </sheetData>
  <mergeCells count="1">
    <mergeCell ref="M53:O5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71A10-2899-F742-9731-9142C95B862A}">
  <dimension ref="A1:AJ49"/>
  <sheetViews>
    <sheetView workbookViewId="0">
      <selection activeCell="M24" sqref="M24"/>
    </sheetView>
  </sheetViews>
  <sheetFormatPr defaultColWidth="9.140625" defaultRowHeight="15"/>
  <cols>
    <col min="6" max="6" width="12.85546875" bestFit="1" customWidth="1"/>
    <col min="7" max="7" width="11.42578125" bestFit="1" customWidth="1"/>
    <col min="9" max="9" width="12.42578125" bestFit="1" customWidth="1"/>
    <col min="12" max="12" width="12" bestFit="1" customWidth="1"/>
    <col min="15" max="15" width="12.42578125" customWidth="1"/>
    <col min="16" max="16" width="12.85546875" bestFit="1" customWidth="1"/>
    <col min="17" max="17" width="13.85546875" bestFit="1" customWidth="1"/>
    <col min="18" max="18" width="12" bestFit="1" customWidth="1"/>
    <col min="19" max="19" width="12" customWidth="1"/>
    <col min="20" max="20" width="12.85546875" bestFit="1" customWidth="1"/>
    <col min="21" max="21" width="12.42578125" bestFit="1" customWidth="1"/>
    <col min="28" max="28" width="34.28515625" bestFit="1" customWidth="1"/>
    <col min="29" max="29" width="18.42578125" bestFit="1" customWidth="1"/>
    <col min="30" max="30" width="19.42578125" bestFit="1" customWidth="1"/>
    <col min="31" max="31" width="26.42578125" bestFit="1" customWidth="1"/>
    <col min="32" max="32" width="18.7109375" bestFit="1" customWidth="1"/>
    <col min="33" max="33" width="16.42578125" bestFit="1" customWidth="1"/>
    <col min="34" max="34" width="14.42578125" bestFit="1" customWidth="1"/>
    <col min="35" max="36" width="15.28515625" bestFit="1" customWidth="1"/>
  </cols>
  <sheetData>
    <row r="1" spans="1:36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6" t="s">
        <v>10</v>
      </c>
      <c r="P1" s="13" t="s">
        <v>11</v>
      </c>
      <c r="Q1" s="13" t="s">
        <v>12</v>
      </c>
      <c r="R1" s="13" t="s">
        <v>84</v>
      </c>
      <c r="S1" s="13" t="s">
        <v>14</v>
      </c>
      <c r="T1" s="13" t="s">
        <v>15</v>
      </c>
      <c r="U1" s="13" t="s">
        <v>16</v>
      </c>
      <c r="V1" t="s">
        <v>17</v>
      </c>
      <c r="W1" t="s">
        <v>18</v>
      </c>
    </row>
    <row r="2" spans="1:36">
      <c r="A2" s="19">
        <v>1</v>
      </c>
      <c r="B2" s="25">
        <v>1</v>
      </c>
      <c r="C2" s="20">
        <v>-9</v>
      </c>
      <c r="D2" s="20">
        <v>18</v>
      </c>
      <c r="E2" s="20">
        <v>66</v>
      </c>
      <c r="F2">
        <f>1/(1+EXP(-($P$2+$P$3*C2+$P$4*D2+$P$5*E2)))</f>
        <v>0.65291047329871787</v>
      </c>
      <c r="G2">
        <f>A2-F2</f>
        <v>0.34708952670128213</v>
      </c>
      <c r="H2">
        <f>G2^2</f>
        <v>0.12047113954572004</v>
      </c>
      <c r="I2">
        <f>SUM(H2+A2)</f>
        <v>1.1204711395457201</v>
      </c>
      <c r="J2">
        <f>(A2-$P$6)^2</f>
        <v>0.32653061224489793</v>
      </c>
      <c r="K2">
        <f>(F2-$P$6)^2</f>
        <v>5.032800698915272E-2</v>
      </c>
      <c r="O2" s="21" t="s">
        <v>19</v>
      </c>
      <c r="P2" cm="1">
        <f t="array" ref="P2:P5">MMULT(_xlfn.ANCHORARRAY(B29),A2:A8)</f>
        <v>-0.32720410138818856</v>
      </c>
      <c r="Q2">
        <f>SQRT(P9*$B24)</f>
        <v>3.0535019011422682</v>
      </c>
      <c r="R2">
        <f>(P2-0)/Q2</f>
        <v>-0.10715699939986496</v>
      </c>
      <c r="S2">
        <f>2*_xlfn.NORM.S.DIST(R2,TRUE)</f>
        <v>0.91466442844982887</v>
      </c>
      <c r="T2">
        <f>P2+_xlfn.NORM.S.INV(0.025)*Q2</f>
        <v>-6.3119578543516184</v>
      </c>
      <c r="U2">
        <f>P2+_xlfn.NORM.S.INV(0.975)*Q2</f>
        <v>5.6575496515752404</v>
      </c>
    </row>
    <row r="3" spans="1:36" ht="15.95" thickBot="1">
      <c r="A3" s="19">
        <v>0</v>
      </c>
      <c r="B3" s="25">
        <v>1</v>
      </c>
      <c r="C3" s="20">
        <v>-5</v>
      </c>
      <c r="D3" s="20">
        <v>12</v>
      </c>
      <c r="E3" s="20">
        <v>50</v>
      </c>
      <c r="F3">
        <f t="shared" ref="F3:F8" si="0">1/(1+EXP(-($P$2+$P$3*C3+$P$4*D3+$P$5*E3)))</f>
        <v>0.53427799131452114</v>
      </c>
      <c r="G3">
        <f>A3-F3</f>
        <v>-0.53427799131452114</v>
      </c>
      <c r="H3">
        <f t="shared" ref="H3:H8" si="1">G3^2</f>
        <v>0.28545297200307951</v>
      </c>
      <c r="I3">
        <f>SUM(G3:H3)</f>
        <v>-0.24882501931144163</v>
      </c>
      <c r="J3">
        <f>(A3-$P$6)^2</f>
        <v>0.18367346938775508</v>
      </c>
      <c r="K3">
        <f>(F3-$P$6)^2</f>
        <v>1.1173877406959371E-2</v>
      </c>
      <c r="O3" s="21" t="s">
        <v>20</v>
      </c>
      <c r="P3">
        <v>-5.1508741398212515E-2</v>
      </c>
      <c r="Q3">
        <f>SQRT(P9*C25)</f>
        <v>9.9607747302080718E-2</v>
      </c>
      <c r="R3">
        <f>(P3-0)/Q3</f>
        <v>-0.51711581471671875</v>
      </c>
      <c r="S3">
        <f>2*_xlfn.NORM.S.DIST(R3,TRUE)</f>
        <v>0.60507531446159857</v>
      </c>
      <c r="T3">
        <f t="shared" ref="T3:T5" si="2">P3+_xlfn.NORM.S.INV(0.025)*Q3</f>
        <v>-0.24673633869145745</v>
      </c>
      <c r="U3">
        <f t="shared" ref="U3:U5" si="3">P3+_xlfn.NORM.S.INV(0.975)*Q3</f>
        <v>0.14371885589503239</v>
      </c>
    </row>
    <row r="4" spans="1:36" ht="15.95">
      <c r="A4" s="19">
        <v>0</v>
      </c>
      <c r="B4" s="25">
        <v>1</v>
      </c>
      <c r="C4" s="20">
        <v>-2</v>
      </c>
      <c r="D4" s="20">
        <v>16</v>
      </c>
      <c r="E4" s="20">
        <v>65</v>
      </c>
      <c r="F4">
        <f t="shared" si="0"/>
        <v>0.52150086506132154</v>
      </c>
      <c r="G4">
        <f t="shared" ref="G4:G8" si="4">A4-F4</f>
        <v>-0.52150086506132154</v>
      </c>
      <c r="H4">
        <f t="shared" si="1"/>
        <v>0.27196315225970669</v>
      </c>
      <c r="I4">
        <f>SUM(G4:H4)</f>
        <v>-0.24953771280161485</v>
      </c>
      <c r="J4">
        <f t="shared" ref="J4:J8" si="5">(A4-$P$6)^2</f>
        <v>0.18367346938775508</v>
      </c>
      <c r="K4">
        <f t="shared" ref="K4:K8" si="6">(F4-$P$6)^2</f>
        <v>8.635880166329055E-3</v>
      </c>
      <c r="O4" s="21" t="s">
        <v>21</v>
      </c>
      <c r="P4">
        <v>0.10289761086816863</v>
      </c>
      <c r="Q4">
        <f>SQRT(P9*D26)</f>
        <v>0.10486229721005129</v>
      </c>
      <c r="R4">
        <f>(P4-0)/Q4</f>
        <v>0.98126413025315318</v>
      </c>
      <c r="S4">
        <f>2*_xlfn.NORM.S.DIST(-R4,TRUE)</f>
        <v>0.32646250649393205</v>
      </c>
      <c r="T4">
        <f t="shared" si="2"/>
        <v>-0.10262871499966687</v>
      </c>
      <c r="U4">
        <f t="shared" si="3"/>
        <v>0.3084239367360041</v>
      </c>
      <c r="AB4" s="6"/>
      <c r="AC4" s="5"/>
      <c r="AD4" s="5"/>
      <c r="AE4" s="5"/>
      <c r="AF4" s="5"/>
      <c r="AG4" s="5"/>
      <c r="AH4" s="5"/>
      <c r="AI4" s="5"/>
    </row>
    <row r="5" spans="1:36" ht="15.95">
      <c r="A5" s="19">
        <v>1</v>
      </c>
      <c r="B5" s="25">
        <v>1</v>
      </c>
      <c r="C5" s="20">
        <v>-7</v>
      </c>
      <c r="D5" s="20">
        <v>19</v>
      </c>
      <c r="E5" s="20">
        <v>51</v>
      </c>
      <c r="F5">
        <f t="shared" si="0"/>
        <v>0.71911429497288493</v>
      </c>
      <c r="G5">
        <f t="shared" si="4"/>
        <v>0.28088570502711507</v>
      </c>
      <c r="H5">
        <f t="shared" si="1"/>
        <v>7.8896779288579494E-2</v>
      </c>
      <c r="I5">
        <f>SUM(G5:H5)</f>
        <v>0.3597824843156946</v>
      </c>
      <c r="J5">
        <f t="shared" si="5"/>
        <v>0.32653061224489793</v>
      </c>
      <c r="K5">
        <f>(F5-$P$6)^2</f>
        <v>8.4415157216774533E-2</v>
      </c>
      <c r="O5" s="21" t="s">
        <v>23</v>
      </c>
      <c r="P5">
        <v>-2.0555671155318866E-2</v>
      </c>
      <c r="Q5">
        <f>SQRT(P9*E27)</f>
        <v>4.9518633656529101E-2</v>
      </c>
      <c r="R5">
        <f>(P5-0)/Q5</f>
        <v>-0.4151098210402373</v>
      </c>
      <c r="S5">
        <f t="shared" ref="S4:S5" si="7">2*_xlfn.NORM.S.DIST(R5,TRUE)</f>
        <v>0.67806151025358885</v>
      </c>
      <c r="T5">
        <f t="shared" si="2"/>
        <v>-0.11761040968574886</v>
      </c>
      <c r="U5">
        <f t="shared" si="3"/>
        <v>7.6499067375111113E-2</v>
      </c>
      <c r="AB5" s="5"/>
      <c r="AC5" s="5"/>
      <c r="AD5" s="5"/>
      <c r="AE5" s="5"/>
      <c r="AF5" s="5"/>
      <c r="AG5" s="5"/>
      <c r="AH5" s="5"/>
      <c r="AI5" s="5"/>
      <c r="AJ5" s="5"/>
    </row>
    <row r="6" spans="1:36" ht="15.95">
      <c r="A6" s="19">
        <v>0</v>
      </c>
      <c r="B6" s="25">
        <v>1</v>
      </c>
      <c r="C6" s="20">
        <v>-3</v>
      </c>
      <c r="D6" s="20">
        <v>20</v>
      </c>
      <c r="E6" s="20">
        <v>59</v>
      </c>
      <c r="F6">
        <f t="shared" si="0"/>
        <v>0.66206042972339174</v>
      </c>
      <c r="G6">
        <f t="shared" si="4"/>
        <v>-0.66206042972339174</v>
      </c>
      <c r="H6">
        <f t="shared" si="1"/>
        <v>0.43832401260552212</v>
      </c>
      <c r="I6">
        <f>SUM(G6:H6)</f>
        <v>-0.22373641711786962</v>
      </c>
      <c r="J6">
        <f t="shared" si="5"/>
        <v>0.18367346938775508</v>
      </c>
      <c r="K6">
        <f t="shared" si="6"/>
        <v>5.451711365894147E-2</v>
      </c>
      <c r="O6" t="s">
        <v>25</v>
      </c>
      <c r="P6">
        <f>AVERAGE(A2:A8)</f>
        <v>0.42857142857142855</v>
      </c>
      <c r="AB6" s="5"/>
      <c r="AC6" s="5"/>
      <c r="AD6" s="5"/>
      <c r="AE6" s="5"/>
      <c r="AF6" s="5"/>
      <c r="AG6" s="5"/>
      <c r="AH6" s="5"/>
      <c r="AI6" s="5"/>
      <c r="AJ6" s="5"/>
    </row>
    <row r="7" spans="1:36" ht="15.95">
      <c r="A7" s="19">
        <v>0</v>
      </c>
      <c r="B7" s="25">
        <v>1</v>
      </c>
      <c r="C7" s="20">
        <v>-8</v>
      </c>
      <c r="D7" s="20">
        <v>13</v>
      </c>
      <c r="E7" s="20">
        <v>60</v>
      </c>
      <c r="F7">
        <f t="shared" si="0"/>
        <v>0.54715804250824696</v>
      </c>
      <c r="G7">
        <f t="shared" si="4"/>
        <v>-0.54715804250824696</v>
      </c>
      <c r="H7">
        <f t="shared" si="1"/>
        <v>0.29938192348145659</v>
      </c>
      <c r="I7">
        <f>SUM(G7,H7)</f>
        <v>-0.24777611902679036</v>
      </c>
      <c r="J7">
        <f t="shared" si="5"/>
        <v>0.18367346938775508</v>
      </c>
      <c r="K7">
        <f t="shared" si="6"/>
        <v>1.4062785005000014E-2</v>
      </c>
      <c r="AB7" s="5"/>
      <c r="AC7" s="5"/>
      <c r="AD7" s="5"/>
      <c r="AE7" s="5"/>
      <c r="AF7" s="5"/>
      <c r="AG7" s="5"/>
      <c r="AH7" s="5"/>
      <c r="AI7" s="5"/>
      <c r="AJ7" s="5"/>
    </row>
    <row r="8" spans="1:36" ht="15.95">
      <c r="A8" s="19">
        <v>1</v>
      </c>
      <c r="B8" s="25">
        <v>1</v>
      </c>
      <c r="C8" s="20">
        <v>-1</v>
      </c>
      <c r="D8" s="20">
        <v>17</v>
      </c>
      <c r="E8" s="20">
        <v>55</v>
      </c>
      <c r="F8">
        <f t="shared" si="0"/>
        <v>0.58491958682710743</v>
      </c>
      <c r="G8">
        <f t="shared" si="4"/>
        <v>0.41508041317289257</v>
      </c>
      <c r="H8">
        <f t="shared" si="1"/>
        <v>0.1722917493997792</v>
      </c>
      <c r="I8">
        <f>SUM(G8,H8)</f>
        <v>0.58737216257267177</v>
      </c>
      <c r="J8">
        <f t="shared" si="5"/>
        <v>0.32653061224489793</v>
      </c>
      <c r="K8">
        <f t="shared" si="6"/>
        <v>2.444474658994281E-2</v>
      </c>
      <c r="O8" s="13" t="s">
        <v>29</v>
      </c>
      <c r="P8">
        <f>SUM(H2:H8)</f>
        <v>1.6667817285838438</v>
      </c>
      <c r="AB8" s="5"/>
      <c r="AC8" s="5"/>
      <c r="AD8" s="5"/>
      <c r="AE8" s="5"/>
      <c r="AF8" s="5"/>
      <c r="AG8" s="5"/>
      <c r="AH8" s="5"/>
      <c r="AI8" s="5"/>
      <c r="AJ8" s="5"/>
    </row>
    <row r="9" spans="1:36" ht="17.100000000000001" thickBot="1">
      <c r="A9">
        <f>_xlfn.VAR.S(A2:A8)</f>
        <v>0.2857142857142857</v>
      </c>
      <c r="B9">
        <v>1</v>
      </c>
      <c r="C9">
        <v>2</v>
      </c>
      <c r="D9">
        <v>3</v>
      </c>
      <c r="E9">
        <v>4</v>
      </c>
      <c r="G9" s="27">
        <f>AVERAGE(G2:G8)</f>
        <v>-0.17456309767231307</v>
      </c>
      <c r="O9" s="16" t="s">
        <v>31</v>
      </c>
      <c r="P9">
        <f>P8/(7-4)</f>
        <v>0.55559390952794796</v>
      </c>
      <c r="AB9" s="8"/>
      <c r="AC9" s="8"/>
      <c r="AD9" s="5"/>
      <c r="AE9" s="5"/>
      <c r="AF9" s="5"/>
      <c r="AG9" s="5"/>
      <c r="AH9" s="5"/>
      <c r="AI9" s="5"/>
      <c r="AJ9" s="5"/>
    </row>
    <row r="10" spans="1:36" ht="15.95">
      <c r="O10" s="16" t="s">
        <v>10</v>
      </c>
      <c r="P10">
        <f>SUM(K2:K8)</f>
        <v>0.24757756703309999</v>
      </c>
      <c r="AB10" s="5"/>
      <c r="AC10" s="5"/>
      <c r="AD10" s="5"/>
      <c r="AE10" s="5"/>
      <c r="AF10" s="5"/>
      <c r="AG10" s="5"/>
      <c r="AH10" s="5"/>
      <c r="AI10" s="5"/>
      <c r="AJ10" s="5"/>
    </row>
    <row r="11" spans="1:36" ht="17.100000000000001" thickBot="1"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  <c r="H11">
        <v>7</v>
      </c>
      <c r="O11" s="16" t="s">
        <v>9</v>
      </c>
      <c r="P11">
        <f>SUM(J2:J8)</f>
        <v>1.714285714285714</v>
      </c>
      <c r="Q11">
        <f>P8+P10</f>
        <v>1.9143592956169437</v>
      </c>
      <c r="AB11" s="5"/>
      <c r="AC11" s="5"/>
      <c r="AD11" s="5"/>
      <c r="AE11" s="5"/>
      <c r="AF11" s="5"/>
      <c r="AG11" s="5"/>
      <c r="AH11" s="5"/>
      <c r="AI11" s="5"/>
      <c r="AJ11" s="5"/>
    </row>
    <row r="12" spans="1:36" ht="15.95">
      <c r="A12">
        <v>1</v>
      </c>
      <c r="B12" s="3" cm="1">
        <f t="array" ref="B12:H15">TRANSPOSE(B2:E8)</f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13" t="s">
        <v>34</v>
      </c>
      <c r="O12" s="13" t="s">
        <v>35</v>
      </c>
      <c r="P12">
        <f xml:space="preserve"> 1 - (P8/P11)</f>
        <v>2.7710658326090987E-2</v>
      </c>
      <c r="Q12">
        <f>P12-P13</f>
        <v>0.97228934167390901</v>
      </c>
      <c r="AB12" s="6"/>
      <c r="AC12" s="6"/>
      <c r="AD12" s="6"/>
      <c r="AE12" s="6"/>
      <c r="AF12" s="6"/>
      <c r="AG12" s="6"/>
      <c r="AH12" s="5"/>
      <c r="AI12" s="5"/>
      <c r="AJ12" s="5"/>
    </row>
    <row r="13" spans="1:36" ht="15.95">
      <c r="A13">
        <v>2</v>
      </c>
      <c r="B13" s="3">
        <v>-9</v>
      </c>
      <c r="C13" s="3">
        <v>-5</v>
      </c>
      <c r="D13" s="3">
        <v>-2</v>
      </c>
      <c r="E13" s="3">
        <v>-7</v>
      </c>
      <c r="F13" s="3">
        <v>-3</v>
      </c>
      <c r="G13" s="3">
        <v>-8</v>
      </c>
      <c r="H13" s="3">
        <v>-1</v>
      </c>
      <c r="O13" s="13" t="s">
        <v>42</v>
      </c>
      <c r="P13">
        <f>1-(6/(7-3-1))*(1-P12)</f>
        <v>-0.94457868334781803</v>
      </c>
      <c r="AB13" s="5"/>
      <c r="AC13" s="5"/>
      <c r="AD13" s="5"/>
      <c r="AE13" s="5"/>
      <c r="AF13" s="5"/>
      <c r="AG13" s="5"/>
      <c r="AI13" s="5"/>
      <c r="AJ13" s="5"/>
    </row>
    <row r="14" spans="1:36" ht="15.95">
      <c r="A14">
        <v>3</v>
      </c>
      <c r="B14" s="3">
        <v>18</v>
      </c>
      <c r="C14" s="3">
        <v>12</v>
      </c>
      <c r="D14" s="3">
        <v>16</v>
      </c>
      <c r="E14" s="3">
        <v>19</v>
      </c>
      <c r="F14" s="3">
        <v>20</v>
      </c>
      <c r="G14" s="3">
        <v>13</v>
      </c>
      <c r="H14" s="3">
        <v>17</v>
      </c>
      <c r="O14" s="17"/>
      <c r="P14" s="18">
        <f>(P10/3)</f>
        <v>8.2525855677700002E-2</v>
      </c>
      <c r="Q14" s="17" t="s">
        <v>45</v>
      </c>
      <c r="R14" s="18">
        <f>P8/3</f>
        <v>0.55559390952794796</v>
      </c>
      <c r="S14" t="s">
        <v>46</v>
      </c>
      <c r="AB14" s="5"/>
      <c r="AC14" s="5"/>
      <c r="AD14" s="5"/>
      <c r="AE14" s="5"/>
      <c r="AF14" s="5"/>
      <c r="AG14" s="5"/>
      <c r="AH14" s="5"/>
      <c r="AI14" s="5"/>
      <c r="AJ14" s="5"/>
    </row>
    <row r="15" spans="1:36" ht="17.100000000000001" thickBot="1">
      <c r="A15">
        <v>4</v>
      </c>
      <c r="B15" s="3">
        <v>66</v>
      </c>
      <c r="C15" s="3">
        <v>50</v>
      </c>
      <c r="D15" s="3">
        <v>65</v>
      </c>
      <c r="E15" s="3">
        <v>51</v>
      </c>
      <c r="F15" s="3">
        <v>59</v>
      </c>
      <c r="G15" s="3">
        <v>60</v>
      </c>
      <c r="H15" s="3">
        <v>55</v>
      </c>
      <c r="O15" s="13" t="s">
        <v>49</v>
      </c>
      <c r="P15">
        <f>P14/R14</f>
        <v>0.14853628569797833</v>
      </c>
      <c r="AB15" s="8"/>
      <c r="AC15" s="8"/>
      <c r="AD15" s="8"/>
      <c r="AE15" s="8"/>
      <c r="AF15" s="8"/>
      <c r="AG15" s="8"/>
      <c r="AH15" s="5"/>
      <c r="AI15" s="5"/>
      <c r="AJ15" s="5"/>
    </row>
    <row r="16" spans="1:36" ht="17.100000000000001" thickBot="1">
      <c r="O16" s="13" t="s">
        <v>14</v>
      </c>
      <c r="P16">
        <f>1-_xlfn.F.DIST(P15,3,3,TRUE)</f>
        <v>0.9241826806970217</v>
      </c>
      <c r="AB16" s="5"/>
      <c r="AC16" s="5"/>
      <c r="AD16" s="5"/>
      <c r="AE16" s="5"/>
      <c r="AF16" s="5"/>
      <c r="AG16" s="5"/>
      <c r="AH16" s="5"/>
      <c r="AI16" s="5"/>
      <c r="AJ16" s="5"/>
    </row>
    <row r="17" spans="1:36" ht="15.95">
      <c r="B17">
        <v>1</v>
      </c>
      <c r="C17">
        <v>2</v>
      </c>
      <c r="D17">
        <v>3</v>
      </c>
      <c r="E17">
        <v>4</v>
      </c>
      <c r="AB17" s="6"/>
      <c r="AC17" s="6"/>
      <c r="AD17" s="6"/>
      <c r="AE17" s="6"/>
      <c r="AF17" s="6"/>
      <c r="AG17" s="6"/>
      <c r="AH17" s="6"/>
      <c r="AI17" s="6"/>
      <c r="AJ17" s="6"/>
    </row>
    <row r="18" spans="1:36" ht="15.95">
      <c r="A18">
        <v>1</v>
      </c>
      <c r="B18" s="15" cm="1">
        <f t="array" ref="B18:E21">MMULT(_xlfn.ANCHORARRAY(B12),B2:E8)</f>
        <v>7</v>
      </c>
      <c r="C18" s="15">
        <v>-35</v>
      </c>
      <c r="D18" s="15">
        <v>115</v>
      </c>
      <c r="E18" s="15">
        <v>406</v>
      </c>
      <c r="F18" s="13" t="s">
        <v>59</v>
      </c>
      <c r="G18" t="s">
        <v>60</v>
      </c>
      <c r="I18">
        <f>MDETERM(_xlfn.ANCHORARRAY(B18))</f>
        <v>4863523.9999999776</v>
      </c>
      <c r="AB18" s="5"/>
      <c r="AC18" s="5"/>
      <c r="AD18" s="5"/>
      <c r="AE18" s="24"/>
      <c r="AF18" s="24"/>
      <c r="AG18" s="5"/>
      <c r="AH18" s="5"/>
      <c r="AI18" s="5"/>
      <c r="AJ18" s="5"/>
    </row>
    <row r="19" spans="1:36" ht="15.95">
      <c r="A19">
        <v>2</v>
      </c>
      <c r="B19" s="15">
        <v>-35</v>
      </c>
      <c r="C19" s="15">
        <v>233</v>
      </c>
      <c r="D19" s="15">
        <v>-568</v>
      </c>
      <c r="E19" s="15">
        <v>-2043</v>
      </c>
      <c r="U19" s="33" t="s">
        <v>62</v>
      </c>
      <c r="V19" s="33"/>
      <c r="W19" s="33"/>
      <c r="AB19" s="5"/>
      <c r="AC19" s="5"/>
      <c r="AD19" s="5"/>
      <c r="AE19" s="22"/>
      <c r="AF19" s="22"/>
      <c r="AG19" s="5"/>
      <c r="AH19" s="5"/>
      <c r="AI19" s="5"/>
      <c r="AJ19" s="5"/>
    </row>
    <row r="20" spans="1:36" ht="15.95">
      <c r="A20">
        <v>3</v>
      </c>
      <c r="B20" s="15">
        <v>115</v>
      </c>
      <c r="C20" s="15">
        <v>-568</v>
      </c>
      <c r="D20" s="15">
        <v>1943</v>
      </c>
      <c r="E20" s="15">
        <v>6692</v>
      </c>
      <c r="AB20" s="5"/>
      <c r="AC20" s="5"/>
      <c r="AD20" s="5"/>
      <c r="AE20" s="22"/>
      <c r="AF20" s="22"/>
      <c r="AG20" s="5"/>
      <c r="AH20" s="5"/>
      <c r="AI20" s="5"/>
      <c r="AJ20" s="5"/>
    </row>
    <row r="21" spans="1:36" ht="17.100000000000001" thickBot="1">
      <c r="A21">
        <v>4</v>
      </c>
      <c r="B21" s="15">
        <v>406</v>
      </c>
      <c r="C21" s="15">
        <v>-2043</v>
      </c>
      <c r="D21" s="15">
        <v>6692</v>
      </c>
      <c r="E21" s="15">
        <v>23788</v>
      </c>
      <c r="AB21" s="8"/>
      <c r="AC21" s="8"/>
      <c r="AD21" s="8"/>
      <c r="AE21" s="23"/>
      <c r="AF21" s="23"/>
      <c r="AG21" s="8"/>
      <c r="AH21" s="8"/>
      <c r="AI21" s="8"/>
      <c r="AJ21" s="8"/>
    </row>
    <row r="22" spans="1:36" ht="15.95">
      <c r="V22" t="s">
        <v>66</v>
      </c>
      <c r="AB22" s="5"/>
      <c r="AC22" s="9"/>
      <c r="AD22" s="5"/>
      <c r="AE22" s="9"/>
      <c r="AF22" s="5"/>
      <c r="AG22" s="7"/>
      <c r="AH22" s="7"/>
      <c r="AI22" s="7"/>
      <c r="AJ22" s="7"/>
    </row>
    <row r="23" spans="1:36" ht="17.100000000000001" thickBot="1">
      <c r="V23" t="s">
        <v>67</v>
      </c>
      <c r="AB23" s="8"/>
      <c r="AC23" s="10"/>
      <c r="AD23" s="8"/>
      <c r="AE23" s="11"/>
      <c r="AF23" s="8"/>
      <c r="AG23" s="11"/>
      <c r="AH23" s="8"/>
      <c r="AI23" s="11"/>
      <c r="AJ23" s="8"/>
    </row>
    <row r="24" spans="1:36">
      <c r="B24" s="14" cm="1">
        <f t="array" ref="B24:E27">MINVERSE(_xlfn.ANCHORARRAY(B18))</f>
        <v>16.781814379861245</v>
      </c>
      <c r="C24" s="1">
        <v>6.4628446369339676E-2</v>
      </c>
      <c r="D24" s="1">
        <v>-0.22518095932085322</v>
      </c>
      <c r="E24" s="1">
        <v>-0.21752437121725043</v>
      </c>
      <c r="F24" s="13" t="s">
        <v>68</v>
      </c>
    </row>
    <row r="25" spans="1:36">
      <c r="B25" s="1">
        <v>6.4628446369341272E-2</v>
      </c>
      <c r="C25" s="14">
        <v>1.7857833126761584E-2</v>
      </c>
      <c r="D25" s="1">
        <v>-2.8296354659707841E-3</v>
      </c>
      <c r="E25" s="1">
        <v>1.2266825454135637E-3</v>
      </c>
      <c r="V25" t="s">
        <v>69</v>
      </c>
    </row>
    <row r="26" spans="1:36">
      <c r="B26" s="1">
        <v>-0.22518095932085266</v>
      </c>
      <c r="C26" s="1">
        <v>-2.8296354659707711E-3</v>
      </c>
      <c r="D26" s="14">
        <v>1.9791616120327534E-2</v>
      </c>
      <c r="E26" s="1">
        <v>-1.9675033987701356E-3</v>
      </c>
      <c r="V26" t="s">
        <v>70</v>
      </c>
    </row>
    <row r="27" spans="1:36" ht="15.95">
      <c r="B27" s="1">
        <v>-0.21752437121725049</v>
      </c>
      <c r="C27" s="1">
        <v>1.2266825454135869E-3</v>
      </c>
      <c r="D27" s="1">
        <v>-1.9675033987701261E-3</v>
      </c>
      <c r="E27" s="14">
        <v>4.4134664494305254E-3</v>
      </c>
      <c r="AB27" s="5"/>
      <c r="AC27" s="5"/>
      <c r="AD27" s="5"/>
      <c r="AE27" s="5"/>
      <c r="AF27" s="5"/>
      <c r="AG27" s="5"/>
      <c r="AH27" s="5"/>
      <c r="AI27" s="5"/>
      <c r="AJ27" s="5"/>
    </row>
    <row r="28" spans="1:36" ht="17.100000000000001" thickBot="1">
      <c r="AB28" s="5"/>
      <c r="AC28" s="5"/>
      <c r="AD28" s="5"/>
      <c r="AE28" s="5"/>
      <c r="AF28" s="5"/>
      <c r="AG28" s="5"/>
      <c r="AH28" s="5"/>
      <c r="AI28" s="5"/>
      <c r="AJ28" s="5"/>
    </row>
    <row r="29" spans="1:36" ht="15.95">
      <c r="B29" s="4" cm="1">
        <f t="array" ref="B29:H32">MMULT(_xlfn.ANCHORARRAY(B24),_xlfn.ANCHORARRAY(B12))</f>
        <v>-2.2097074055766992</v>
      </c>
      <c r="C29" s="4">
        <v>2.8802820753017855</v>
      </c>
      <c r="D29" s="4">
        <v>-1.0894219911323653</v>
      </c>
      <c r="E29" s="4">
        <v>0.95723409609988508</v>
      </c>
      <c r="F29" s="4">
        <v>-0.74962804748161282</v>
      </c>
      <c r="G29" s="4">
        <v>0.28597206470040959</v>
      </c>
      <c r="H29" s="4">
        <v>0.92526920808862556</v>
      </c>
      <c r="I29" s="26"/>
      <c r="J29" s="26"/>
      <c r="K29" s="26"/>
      <c r="L29" s="13" t="s">
        <v>71</v>
      </c>
      <c r="AB29" s="6"/>
      <c r="AC29" s="5"/>
      <c r="AD29" s="5"/>
      <c r="AE29" s="5"/>
      <c r="AF29" s="5"/>
      <c r="AG29" s="5"/>
      <c r="AH29" s="5"/>
      <c r="AI29" s="5"/>
    </row>
    <row r="30" spans="1:36" ht="15.95">
      <c r="B30" s="4">
        <v>-6.6064442161691911E-2</v>
      </c>
      <c r="C30" s="4">
        <v>2.7177824145621157E-3</v>
      </c>
      <c r="D30" s="4">
        <v>6.3372978112167203E-2</v>
      </c>
      <c r="E30" s="4">
        <v>-5.157864955534297E-2</v>
      </c>
      <c r="F30" s="4">
        <v>2.6836507849041104E-2</v>
      </c>
      <c r="G30" s="4">
        <v>-4.1418526977557768E-2</v>
      </c>
      <c r="H30" s="4">
        <v>6.6134350318822366E-2</v>
      </c>
      <c r="I30" s="26"/>
      <c r="J30" s="26"/>
      <c r="K30" s="26"/>
      <c r="AB30" s="5"/>
      <c r="AC30" s="5"/>
      <c r="AD30" s="5"/>
      <c r="AE30" s="5"/>
      <c r="AF30" s="5"/>
      <c r="AG30" s="5"/>
      <c r="AH30" s="5"/>
      <c r="AI30" s="5"/>
      <c r="AJ30" s="5"/>
    </row>
    <row r="31" spans="1:36" ht="15.95">
      <c r="B31" s="4">
        <v>2.6679625719950945E-2</v>
      </c>
      <c r="C31" s="4">
        <v>-7.1908558485575202E-2</v>
      </c>
      <c r="D31" s="4">
        <v>-3.0743551383729389E-2</v>
      </c>
      <c r="E31" s="4">
        <v>7.0324521889888969E-2</v>
      </c>
      <c r="F31" s="4">
        <v>6.305756895617233E-2</v>
      </c>
      <c r="G31" s="4">
        <v>-6.3303069955036706E-2</v>
      </c>
      <c r="H31" s="4">
        <v>5.8934632583287211E-3</v>
      </c>
      <c r="I31" s="26"/>
      <c r="J31" s="26"/>
      <c r="K31" s="26"/>
      <c r="AB31" s="5"/>
      <c r="AC31" s="5"/>
      <c r="AD31" s="5"/>
      <c r="AE31" s="5"/>
      <c r="AF31" s="5"/>
      <c r="AG31" s="5"/>
      <c r="AH31" s="5"/>
      <c r="AI31" s="5"/>
      <c r="AJ31" s="5"/>
    </row>
    <row r="32" spans="1:36" ht="15.95">
      <c r="B32" s="4">
        <v>2.7309210358579639E-2</v>
      </c>
      <c r="C32" s="4">
        <v>-2.659450225803367E-2</v>
      </c>
      <c r="D32" s="4">
        <v>3.5417528524584463E-2</v>
      </c>
      <c r="E32" s="4">
        <v>-3.8406924690821187E-2</v>
      </c>
      <c r="F32" s="4">
        <v>-1.5996631249282078E-4</v>
      </c>
      <c r="G32" s="4">
        <v>1.1892611201260728E-2</v>
      </c>
      <c r="H32" s="4">
        <v>-9.4579568230773181E-3</v>
      </c>
      <c r="I32" s="26"/>
      <c r="J32" s="26"/>
      <c r="K32" s="26"/>
      <c r="AB32" s="5"/>
      <c r="AC32" s="5"/>
      <c r="AD32" s="5"/>
      <c r="AE32" s="5"/>
      <c r="AF32" s="5"/>
      <c r="AG32" s="5"/>
      <c r="AH32" s="5"/>
      <c r="AI32" s="5"/>
      <c r="AJ32" s="5"/>
    </row>
    <row r="33" spans="28:36" ht="15.95">
      <c r="AB33" s="5"/>
      <c r="AC33" s="7"/>
      <c r="AD33" s="5"/>
      <c r="AE33" s="5"/>
      <c r="AF33" s="5"/>
      <c r="AG33" s="5"/>
      <c r="AH33" s="5"/>
      <c r="AI33" s="5"/>
      <c r="AJ33" s="5"/>
    </row>
    <row r="34" spans="28:36" ht="17.100000000000001" thickBot="1">
      <c r="AB34" s="8"/>
      <c r="AC34" s="8"/>
      <c r="AD34" s="5"/>
      <c r="AE34" s="5"/>
      <c r="AF34" s="5"/>
      <c r="AG34" s="5"/>
      <c r="AH34" s="5"/>
      <c r="AI34" s="5"/>
      <c r="AJ34" s="5"/>
    </row>
    <row r="35" spans="28:36" ht="15.95">
      <c r="AB35" s="5"/>
      <c r="AC35" s="5"/>
      <c r="AD35" s="5"/>
      <c r="AE35" s="5"/>
      <c r="AF35" s="5"/>
      <c r="AG35" s="5"/>
      <c r="AH35" s="5"/>
      <c r="AI35" s="5"/>
      <c r="AJ35" s="5"/>
    </row>
    <row r="36" spans="28:36" ht="17.100000000000001" thickBot="1">
      <c r="AB36" s="5"/>
      <c r="AC36" s="5"/>
      <c r="AD36" s="5"/>
      <c r="AE36" s="5"/>
      <c r="AF36" s="5"/>
      <c r="AG36" s="5"/>
      <c r="AH36" s="5"/>
      <c r="AI36" s="5"/>
      <c r="AJ36" s="5"/>
    </row>
    <row r="37" spans="28:36" ht="15.95">
      <c r="AB37" s="6"/>
      <c r="AC37" s="6"/>
      <c r="AD37" s="6"/>
      <c r="AE37" s="6"/>
      <c r="AF37" s="6"/>
      <c r="AG37" s="6"/>
      <c r="AH37" s="5"/>
      <c r="AI37" s="5"/>
      <c r="AJ37" s="5"/>
    </row>
    <row r="38" spans="28:36" ht="15.95">
      <c r="AB38" s="5"/>
      <c r="AC38" s="5"/>
      <c r="AD38" s="7"/>
      <c r="AE38" s="7"/>
      <c r="AF38" s="7"/>
      <c r="AG38" s="5"/>
      <c r="AH38" s="5"/>
      <c r="AI38" s="5"/>
      <c r="AJ38" s="5"/>
    </row>
    <row r="39" spans="28:36" ht="15.95">
      <c r="AB39" s="5"/>
      <c r="AC39" s="5"/>
      <c r="AD39" s="7"/>
      <c r="AE39" s="7"/>
      <c r="AF39" s="5"/>
      <c r="AG39" s="5"/>
      <c r="AH39" s="5"/>
      <c r="AI39" s="5"/>
      <c r="AJ39" s="5"/>
    </row>
    <row r="40" spans="28:36" ht="17.100000000000001" thickBot="1">
      <c r="AB40" s="8"/>
      <c r="AC40" s="8"/>
      <c r="AD40" s="8"/>
      <c r="AE40" s="8"/>
      <c r="AF40" s="8"/>
      <c r="AG40" s="8"/>
      <c r="AH40" s="5"/>
      <c r="AI40" s="5"/>
      <c r="AJ40" s="5"/>
    </row>
    <row r="41" spans="28:36" ht="17.100000000000001" thickBot="1">
      <c r="AB41" s="5"/>
      <c r="AC41" s="5"/>
      <c r="AD41" s="5"/>
      <c r="AE41" s="5"/>
      <c r="AF41" s="5"/>
      <c r="AG41" s="5"/>
      <c r="AH41" s="5"/>
      <c r="AI41" s="5"/>
      <c r="AJ41" s="5"/>
    </row>
    <row r="42" spans="28:36" ht="15.95">
      <c r="AB42" s="6"/>
      <c r="AC42" s="6"/>
      <c r="AD42" s="6"/>
      <c r="AE42" s="6"/>
      <c r="AF42" s="6"/>
      <c r="AG42" s="6"/>
      <c r="AH42" s="6"/>
      <c r="AI42" s="12"/>
      <c r="AJ42" s="12"/>
    </row>
    <row r="43" spans="28:36" ht="15.95">
      <c r="AB43" s="5"/>
      <c r="AC43" s="7"/>
      <c r="AD43" s="7"/>
      <c r="AE43" s="7"/>
      <c r="AF43" s="5"/>
      <c r="AG43" s="7"/>
      <c r="AH43" s="7"/>
      <c r="AI43" s="7"/>
      <c r="AJ43" s="7"/>
    </row>
    <row r="44" spans="28:36" ht="15.95">
      <c r="AB44" s="5"/>
      <c r="AC44" s="5"/>
      <c r="AD44" s="5"/>
      <c r="AE44" s="5"/>
      <c r="AF44" s="5"/>
      <c r="AG44" s="7"/>
      <c r="AH44" s="7"/>
      <c r="AI44" s="7"/>
      <c r="AJ44" s="7"/>
    </row>
    <row r="45" spans="28:36" ht="15.95">
      <c r="AB45" s="5"/>
      <c r="AC45" s="9"/>
      <c r="AD45" s="5"/>
      <c r="AE45" s="9"/>
      <c r="AF45" s="5"/>
      <c r="AG45" s="7"/>
      <c r="AH45" s="7"/>
      <c r="AI45" s="7"/>
      <c r="AJ45" s="7"/>
    </row>
    <row r="46" spans="28:36" ht="17.100000000000001" thickBot="1">
      <c r="AB46" s="8"/>
      <c r="AC46" s="10"/>
      <c r="AD46" s="8"/>
      <c r="AE46" s="11"/>
      <c r="AF46" s="8"/>
      <c r="AG46" s="11"/>
      <c r="AH46" s="8"/>
      <c r="AI46" s="11"/>
      <c r="AJ46" s="11"/>
    </row>
    <row r="47" spans="28:36" ht="15.95">
      <c r="AB47" s="5"/>
      <c r="AC47" s="5"/>
      <c r="AD47" s="5"/>
      <c r="AE47" s="5"/>
      <c r="AF47" s="5"/>
      <c r="AG47" s="5"/>
      <c r="AH47" s="5"/>
      <c r="AI47" s="5"/>
      <c r="AJ47" s="5"/>
    </row>
    <row r="48" spans="28:36" ht="15.95">
      <c r="AB48" s="5"/>
      <c r="AC48" s="5"/>
      <c r="AD48" s="5"/>
      <c r="AE48" s="5"/>
      <c r="AF48" s="5"/>
      <c r="AG48" s="5"/>
      <c r="AH48" s="5"/>
      <c r="AI48" s="5"/>
      <c r="AJ48" s="5"/>
    </row>
    <row r="49" spans="28:36" ht="15.95">
      <c r="AB49" s="5"/>
      <c r="AC49" s="5"/>
      <c r="AD49" s="5"/>
      <c r="AE49" s="5"/>
      <c r="AF49" s="5"/>
      <c r="AG49" s="5"/>
      <c r="AH49" s="5"/>
      <c r="AI49" s="5"/>
      <c r="AJ49" s="5"/>
    </row>
  </sheetData>
  <mergeCells count="1">
    <mergeCell ref="U19:W19"/>
  </mergeCells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6CA5-A1A8-DE4A-9E94-F7FB004A364E}">
  <dimension ref="A1:AJ61"/>
  <sheetViews>
    <sheetView topLeftCell="A11" workbookViewId="0">
      <selection activeCell="L11" sqref="L11"/>
    </sheetView>
  </sheetViews>
  <sheetFormatPr defaultColWidth="9.140625" defaultRowHeight="15"/>
  <cols>
    <col min="1" max="1" width="9.7109375" bestFit="1" customWidth="1"/>
    <col min="2" max="4" width="12.85546875" bestFit="1" customWidth="1"/>
    <col min="5" max="5" width="19.7109375" bestFit="1" customWidth="1"/>
    <col min="6" max="6" width="12.85546875" bestFit="1" customWidth="1"/>
    <col min="7" max="7" width="17.85546875" bestFit="1" customWidth="1"/>
    <col min="8" max="8" width="12.7109375" bestFit="1" customWidth="1"/>
    <col min="9" max="9" width="12.42578125" bestFit="1" customWidth="1"/>
    <col min="12" max="12" width="12" bestFit="1" customWidth="1"/>
    <col min="15" max="15" width="12.42578125" customWidth="1"/>
    <col min="16" max="16" width="12.85546875" bestFit="1" customWidth="1"/>
    <col min="17" max="17" width="14.140625" bestFit="1" customWidth="1"/>
    <col min="18" max="18" width="12.85546875" bestFit="1" customWidth="1"/>
    <col min="19" max="19" width="12.42578125" bestFit="1" customWidth="1"/>
    <col min="20" max="21" width="12.85546875" bestFit="1" customWidth="1"/>
    <col min="28" max="28" width="34.28515625" bestFit="1" customWidth="1"/>
    <col min="29" max="29" width="18.42578125" bestFit="1" customWidth="1"/>
    <col min="30" max="30" width="19.42578125" bestFit="1" customWidth="1"/>
    <col min="31" max="31" width="26.42578125" bestFit="1" customWidth="1"/>
    <col min="32" max="32" width="14.42578125" bestFit="1" customWidth="1"/>
    <col min="33" max="33" width="16.42578125" bestFit="1" customWidth="1"/>
    <col min="34" max="34" width="14.42578125" bestFit="1" customWidth="1"/>
    <col min="35" max="36" width="15.28515625" bestFit="1" customWidth="1"/>
  </cols>
  <sheetData>
    <row r="1" spans="1:36">
      <c r="A1" s="13" t="s">
        <v>76</v>
      </c>
      <c r="B1" s="13" t="s">
        <v>1</v>
      </c>
      <c r="C1" s="13" t="s">
        <v>2</v>
      </c>
      <c r="D1" s="13" t="s">
        <v>3</v>
      </c>
      <c r="E1" s="13" t="s">
        <v>77</v>
      </c>
      <c r="F1" s="13" t="s">
        <v>5</v>
      </c>
      <c r="G1" s="13" t="s">
        <v>78</v>
      </c>
      <c r="H1" s="13" t="s">
        <v>7</v>
      </c>
      <c r="I1" s="13" t="s">
        <v>8</v>
      </c>
      <c r="J1" s="13" t="s">
        <v>9</v>
      </c>
      <c r="K1" s="16" t="s">
        <v>10</v>
      </c>
      <c r="P1" s="13" t="s">
        <v>11</v>
      </c>
      <c r="Q1" s="13" t="s">
        <v>12</v>
      </c>
      <c r="R1" s="13" t="s">
        <v>84</v>
      </c>
      <c r="S1" s="13" t="s">
        <v>14</v>
      </c>
      <c r="T1" s="13" t="s">
        <v>15</v>
      </c>
      <c r="U1" s="13" t="s">
        <v>16</v>
      </c>
    </row>
    <row r="2" spans="1:36">
      <c r="A2" s="19">
        <v>1</v>
      </c>
      <c r="B2" s="1">
        <v>1</v>
      </c>
      <c r="C2" s="1">
        <v>0.1</v>
      </c>
      <c r="D2" s="1">
        <v>-3</v>
      </c>
      <c r="E2" s="1">
        <v>1</v>
      </c>
      <c r="F2">
        <f>1/(1+EXP(-($P$2+$P$3*C2+$P$4*D2+$P$5*E2)))</f>
        <v>0.69101306135313778</v>
      </c>
      <c r="G2">
        <f>A2-F2</f>
        <v>0.30898693864686222</v>
      </c>
      <c r="H2">
        <f>G2^2</f>
        <v>9.5472928254359796E-2</v>
      </c>
      <c r="I2">
        <f>SUM(H2+A2)</f>
        <v>1.0954729282543598</v>
      </c>
      <c r="J2">
        <f>(A2-$P$6)^2</f>
        <v>0.32653061224489793</v>
      </c>
      <c r="K2">
        <f>(F2-$P$6)^2</f>
        <v>6.8875610617129518E-2</v>
      </c>
      <c r="O2" s="13" t="s">
        <v>19</v>
      </c>
      <c r="P2" cm="1">
        <f t="array" ref="P2:P5">MMULT(_xlfn.ANCHORARRAY(B29),A2:A8)</f>
        <v>8.4794589178355473E-2</v>
      </c>
      <c r="Q2">
        <f>SQRT(P9*$B24)</f>
        <v>0.63428615889450213</v>
      </c>
      <c r="R2">
        <f>(P2-0)/Q2</f>
        <v>0.13368506941116928</v>
      </c>
      <c r="S2">
        <f>2*_xlfn.NORM.S.DIST(-R2,TRUE)</f>
        <v>0.89365161206094168</v>
      </c>
      <c r="T2">
        <f>P2+_xlfn.NORM.S.INV(0.025)*Q2</f>
        <v>-1.1583834381471185</v>
      </c>
      <c r="U2">
        <f>P2+_xlfn.NORM.S.INV(0.975)*Q2</f>
        <v>1.3279726165038295</v>
      </c>
    </row>
    <row r="3" spans="1:36" ht="15.95" thickBot="1">
      <c r="A3" s="19">
        <v>0</v>
      </c>
      <c r="B3" s="1">
        <v>1</v>
      </c>
      <c r="C3" s="1">
        <v>0.02</v>
      </c>
      <c r="D3" s="1">
        <v>3</v>
      </c>
      <c r="E3" s="1">
        <v>0</v>
      </c>
      <c r="F3">
        <f>1/(1+EXP(-($P$2+$P$3*C3+$P$4*D3+$P$5*E3)))</f>
        <v>0.46910254505965554</v>
      </c>
      <c r="G3">
        <f t="shared" ref="G3:G8" si="0">A3-F3</f>
        <v>-0.46910254505965554</v>
      </c>
      <c r="H3">
        <f t="shared" ref="H3:H8" si="1">G3^2</f>
        <v>0.22005719778144617</v>
      </c>
      <c r="I3">
        <f>SUM(G3:H3)</f>
        <v>-0.24904534727820937</v>
      </c>
      <c r="J3">
        <f t="shared" ref="J3:J8" si="2">(A3-$P$6)^2</f>
        <v>0.18367346938775508</v>
      </c>
      <c r="K3">
        <f>(F3-$P$6)^2</f>
        <v>1.6427714037822259E-3</v>
      </c>
      <c r="O3" s="13" t="s">
        <v>20</v>
      </c>
      <c r="P3">
        <v>3.4944889779559309</v>
      </c>
      <c r="Q3">
        <f>SQRT(P9*C25)</f>
        <v>7.0344920489998266</v>
      </c>
      <c r="R3">
        <f>(P3-0)/Q3</f>
        <v>0.49676493393048643</v>
      </c>
      <c r="S3">
        <f>2*_xlfn.NORM.S.DIST(-R3,TRUE)</f>
        <v>0.61935482594999658</v>
      </c>
      <c r="T3">
        <f t="shared" ref="T3:T5" si="3">P3+_xlfn.NORM.S.INV(0.025)*Q3</f>
        <v>-10.292862087617095</v>
      </c>
      <c r="U3">
        <f t="shared" ref="U3:U5" si="4">P3+_xlfn.NORM.S.INV(0.975)*Q3</f>
        <v>17.281840043528955</v>
      </c>
    </row>
    <row r="4" spans="1:36" ht="15.95">
      <c r="A4" s="19">
        <v>0</v>
      </c>
      <c r="B4" s="1">
        <v>1</v>
      </c>
      <c r="C4" s="1">
        <v>0.01</v>
      </c>
      <c r="D4" s="1">
        <v>2</v>
      </c>
      <c r="E4" s="1">
        <v>0</v>
      </c>
      <c r="F4">
        <f>1/(1+EXP(-($P$2+$P$3*C4+$P$4*D4+$P$5*E4)))</f>
        <v>0.48353551390138444</v>
      </c>
      <c r="G4">
        <f t="shared" si="0"/>
        <v>-0.48353551390138444</v>
      </c>
      <c r="H4">
        <f t="shared" si="1"/>
        <v>0.23380659320387595</v>
      </c>
      <c r="I4">
        <f>SUM(G4:H4)</f>
        <v>-0.24972892069750849</v>
      </c>
      <c r="J4">
        <f t="shared" si="2"/>
        <v>0.18367346938775508</v>
      </c>
      <c r="K4">
        <f t="shared" ref="K4:K8" si="5">(F4-$P$6)^2</f>
        <v>3.0210506761586724E-3</v>
      </c>
      <c r="O4" s="13" t="s">
        <v>21</v>
      </c>
      <c r="P4">
        <v>-9.2810621242484487E-2</v>
      </c>
      <c r="Q4">
        <f>SQRT(P9*D26)</f>
        <v>0.23953033790931944</v>
      </c>
      <c r="R4">
        <f>(P4-0)/Q4</f>
        <v>-0.3874691700957747</v>
      </c>
      <c r="S4">
        <f>2*_xlfn.NORM.S.DIST(R4,TRUE)</f>
        <v>0.69840890456713434</v>
      </c>
      <c r="T4">
        <f t="shared" si="3"/>
        <v>-0.56228145674945973</v>
      </c>
      <c r="U4">
        <f t="shared" si="4"/>
        <v>0.3766602142644907</v>
      </c>
      <c r="AB4" s="6"/>
      <c r="AC4" s="5"/>
      <c r="AD4" s="5"/>
      <c r="AE4" s="5"/>
      <c r="AF4" s="5"/>
      <c r="AG4" s="5"/>
      <c r="AH4" s="5"/>
      <c r="AI4" s="5"/>
    </row>
    <row r="5" spans="1:36" ht="15.95">
      <c r="A5" s="19">
        <v>1</v>
      </c>
      <c r="B5" s="1">
        <v>1</v>
      </c>
      <c r="C5" s="1">
        <v>0.15</v>
      </c>
      <c r="D5" s="1">
        <v>-2</v>
      </c>
      <c r="E5" s="1">
        <v>1</v>
      </c>
      <c r="F5">
        <f>1/(1+EXP(-($P$2+$P$3*C5+$P$4*D5+$P$5*E5)))</f>
        <v>0.70822389747409331</v>
      </c>
      <c r="G5">
        <f t="shared" si="0"/>
        <v>0.29177610252590669</v>
      </c>
      <c r="H5">
        <f t="shared" si="1"/>
        <v>8.5133294005208415E-2</v>
      </c>
      <c r="I5">
        <f>SUM(G5:H5)</f>
        <v>0.3769093965311151</v>
      </c>
      <c r="J5">
        <f t="shared" si="2"/>
        <v>0.32653061224489793</v>
      </c>
      <c r="K5">
        <f t="shared" si="5"/>
        <v>7.8205503363355883E-2</v>
      </c>
      <c r="O5" s="13" t="s">
        <v>23</v>
      </c>
      <c r="P5">
        <v>9.218436873747482E-2</v>
      </c>
      <c r="Q5">
        <f>SQRT(P9*E27)</f>
        <v>0.76291529964881033</v>
      </c>
      <c r="R5">
        <f>(P5-0)/Q5</f>
        <v>0.12083172113589762</v>
      </c>
      <c r="S5">
        <f>2*_xlfn.NORM.S.DIST(-R5,TRUE)</f>
        <v>0.90382432434547133</v>
      </c>
      <c r="T5">
        <f t="shared" si="3"/>
        <v>-1.4031021418287766</v>
      </c>
      <c r="U5">
        <f t="shared" si="4"/>
        <v>1.587470879303726</v>
      </c>
      <c r="AB5" s="5"/>
      <c r="AC5" s="5"/>
      <c r="AD5" s="5"/>
      <c r="AE5" s="5"/>
      <c r="AF5" s="5"/>
      <c r="AG5" s="5"/>
      <c r="AH5" s="5"/>
      <c r="AI5" s="5"/>
      <c r="AJ5" s="5"/>
    </row>
    <row r="6" spans="1:36" ht="15.95">
      <c r="A6" s="19">
        <v>0</v>
      </c>
      <c r="B6" s="1">
        <v>1</v>
      </c>
      <c r="C6" s="1">
        <v>0.02</v>
      </c>
      <c r="D6" s="1">
        <v>1</v>
      </c>
      <c r="E6" s="1">
        <v>1</v>
      </c>
      <c r="F6">
        <f>1/(1+EXP(-($P$2+$P$3*C6+$P$4*D6+$P$5*E6)))</f>
        <v>0.53843853440935341</v>
      </c>
      <c r="G6">
        <f t="shared" si="0"/>
        <v>-0.53843853440935341</v>
      </c>
      <c r="H6">
        <f t="shared" si="1"/>
        <v>0.28991605533689246</v>
      </c>
      <c r="I6">
        <f>SUM(G6:H6)</f>
        <v>-0.24852247907246094</v>
      </c>
      <c r="J6">
        <f t="shared" si="2"/>
        <v>0.18367346938775508</v>
      </c>
      <c r="K6">
        <f t="shared" si="5"/>
        <v>1.2070780945201783E-2</v>
      </c>
      <c r="O6" t="s">
        <v>25</v>
      </c>
      <c r="P6">
        <f>AVERAGE(A2:A8)</f>
        <v>0.42857142857142855</v>
      </c>
      <c r="AB6" s="5"/>
      <c r="AC6" s="5"/>
      <c r="AD6" s="5"/>
      <c r="AE6" s="5"/>
      <c r="AF6" s="5"/>
      <c r="AG6" s="5"/>
      <c r="AH6" s="5"/>
      <c r="AI6" s="5"/>
      <c r="AJ6" s="5"/>
    </row>
    <row r="7" spans="1:36" ht="15.95">
      <c r="A7" s="19">
        <v>0</v>
      </c>
      <c r="B7" s="1">
        <v>1</v>
      </c>
      <c r="C7" s="1">
        <v>0.03</v>
      </c>
      <c r="D7" s="1">
        <v>0</v>
      </c>
      <c r="E7" s="1">
        <v>0</v>
      </c>
      <c r="F7">
        <f>1/(1+EXP(-($P$2+$P$3*C7+$P$4*D7+$P$5*E7)))</f>
        <v>0.54726576263888793</v>
      </c>
      <c r="G7">
        <f t="shared" si="0"/>
        <v>-0.54726576263888793</v>
      </c>
      <c r="H7">
        <f t="shared" si="1"/>
        <v>0.29949981495672362</v>
      </c>
      <c r="I7">
        <f>SUM(G7,H7)</f>
        <v>-0.24776594768216431</v>
      </c>
      <c r="J7">
        <f t="shared" si="2"/>
        <v>0.18367346938775508</v>
      </c>
      <c r="K7">
        <f t="shared" si="5"/>
        <v>1.408834493971765E-2</v>
      </c>
      <c r="AB7" s="5"/>
      <c r="AC7" s="5"/>
      <c r="AD7" s="5"/>
      <c r="AE7" s="5"/>
      <c r="AF7" s="5"/>
      <c r="AG7" s="5"/>
      <c r="AH7" s="5"/>
      <c r="AI7" s="5"/>
      <c r="AJ7" s="5"/>
    </row>
    <row r="8" spans="1:36" ht="15.95">
      <c r="A8" s="19">
        <v>1</v>
      </c>
      <c r="B8" s="1">
        <v>1</v>
      </c>
      <c r="C8" s="1">
        <v>0.2</v>
      </c>
      <c r="D8" s="1">
        <v>-3</v>
      </c>
      <c r="E8" s="1">
        <v>1</v>
      </c>
      <c r="F8">
        <f>1/(1+EXP(-($P$2+$P$3*C8+$P$4*D8+$P$5*E8)))</f>
        <v>0.7602970232955818</v>
      </c>
      <c r="G8">
        <f t="shared" si="0"/>
        <v>0.2397029767044182</v>
      </c>
      <c r="H8">
        <f t="shared" si="1"/>
        <v>5.7457517040958854E-2</v>
      </c>
      <c r="I8">
        <f>SUM(G8,H8)</f>
        <v>0.29716049374537706</v>
      </c>
      <c r="J8">
        <f t="shared" si="2"/>
        <v>0.32653061224489793</v>
      </c>
      <c r="K8">
        <f t="shared" si="5"/>
        <v>0.11004187019509316</v>
      </c>
      <c r="O8" s="13" t="s">
        <v>29</v>
      </c>
      <c r="P8">
        <f>SUM(H2:H8)</f>
        <v>1.2813434005794653</v>
      </c>
      <c r="Q8">
        <v>90</v>
      </c>
      <c r="AB8" s="5"/>
      <c r="AC8" s="5"/>
      <c r="AD8" s="5"/>
      <c r="AE8" s="5"/>
      <c r="AF8" s="5"/>
      <c r="AG8" s="5"/>
      <c r="AH8" s="5"/>
      <c r="AI8" s="5"/>
      <c r="AJ8" s="5"/>
    </row>
    <row r="9" spans="1:36" ht="17.100000000000001" thickBot="1">
      <c r="G9" s="27">
        <f>SUM(G2:G8)</f>
        <v>-1.1978763381320943</v>
      </c>
      <c r="O9" s="16" t="s">
        <v>31</v>
      </c>
      <c r="P9">
        <f>P8/(7-4)</f>
        <v>0.42711446685982174</v>
      </c>
      <c r="Q9">
        <v>30</v>
      </c>
      <c r="AB9" s="8"/>
      <c r="AC9" s="8"/>
      <c r="AD9" s="5"/>
      <c r="AE9" s="5"/>
      <c r="AF9" s="5"/>
      <c r="AG9" s="5"/>
      <c r="AH9" s="5"/>
      <c r="AI9" s="5"/>
      <c r="AJ9" s="5"/>
    </row>
    <row r="10" spans="1:36" ht="15.95">
      <c r="G10">
        <f>AVERAGE(G2:G8)</f>
        <v>-0.17112519116172775</v>
      </c>
      <c r="H10">
        <f>_xlfn.VAR.S(G2:G8)</f>
        <v>0.1793927638714167</v>
      </c>
      <c r="O10" s="16" t="s">
        <v>10</v>
      </c>
      <c r="P10">
        <f>SUM(K2:K8)</f>
        <v>0.2879459321404389</v>
      </c>
      <c r="AB10" s="5"/>
      <c r="AC10" s="5"/>
      <c r="AD10" s="5"/>
      <c r="AE10" s="5"/>
      <c r="AF10" s="5"/>
      <c r="AG10" s="5"/>
      <c r="AH10" s="5"/>
      <c r="AI10" s="5"/>
      <c r="AJ10" s="5"/>
    </row>
    <row r="11" spans="1:36" ht="17.100000000000001" thickBot="1">
      <c r="O11" s="16" t="s">
        <v>9</v>
      </c>
      <c r="P11">
        <f>SUM(J2:J8)</f>
        <v>1.714285714285714</v>
      </c>
      <c r="Q11">
        <f>P10+P8</f>
        <v>1.5692893327199042</v>
      </c>
      <c r="AB11" s="5"/>
      <c r="AC11" s="5"/>
      <c r="AD11" s="5"/>
      <c r="AE11" s="5"/>
      <c r="AF11" s="5"/>
      <c r="AG11" s="5"/>
      <c r="AH11" s="5"/>
      <c r="AI11" s="5"/>
      <c r="AJ11" s="5"/>
    </row>
    <row r="12" spans="1:36" ht="15.95">
      <c r="B12" s="3" cm="1">
        <f t="array" ref="B12:H15">TRANSPOSE(B2:E8)</f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13" t="s">
        <v>34</v>
      </c>
      <c r="O12" s="13" t="s">
        <v>35</v>
      </c>
      <c r="P12">
        <f xml:space="preserve"> 1 - (P8/P11)</f>
        <v>0.25254968299531178</v>
      </c>
      <c r="Q12">
        <f>P12-P13</f>
        <v>0.74745031700468822</v>
      </c>
      <c r="AB12" s="6"/>
      <c r="AC12" s="6"/>
      <c r="AD12" s="6"/>
      <c r="AE12" s="6"/>
      <c r="AF12" s="6"/>
      <c r="AG12" s="6"/>
      <c r="AH12" s="5"/>
      <c r="AI12" s="5"/>
      <c r="AJ12" s="5"/>
    </row>
    <row r="13" spans="1:36" ht="15.95">
      <c r="B13" s="3">
        <v>0.1</v>
      </c>
      <c r="C13" s="3">
        <v>0.02</v>
      </c>
      <c r="D13" s="3">
        <v>0.01</v>
      </c>
      <c r="E13" s="3">
        <v>0.15</v>
      </c>
      <c r="F13" s="3">
        <v>0.02</v>
      </c>
      <c r="G13" s="3">
        <v>0.03</v>
      </c>
      <c r="H13" s="3">
        <v>0.2</v>
      </c>
      <c r="O13" s="13" t="s">
        <v>42</v>
      </c>
      <c r="P13">
        <f>1-(6/(7-3-1))*(1-P12)</f>
        <v>-0.49490063400937645</v>
      </c>
      <c r="U13">
        <v>6</v>
      </c>
      <c r="AB13" s="5"/>
      <c r="AC13" s="5"/>
      <c r="AD13" s="5"/>
      <c r="AE13" s="5"/>
      <c r="AF13" s="5"/>
      <c r="AG13" s="5"/>
      <c r="AI13" s="5"/>
      <c r="AJ13" s="5"/>
    </row>
    <row r="14" spans="1:36" ht="15.95">
      <c r="B14" s="3">
        <v>-3</v>
      </c>
      <c r="C14" s="3">
        <v>3</v>
      </c>
      <c r="D14" s="3">
        <v>2</v>
      </c>
      <c r="E14" s="3">
        <v>-2</v>
      </c>
      <c r="F14" s="3">
        <v>1</v>
      </c>
      <c r="G14" s="3">
        <v>0</v>
      </c>
      <c r="H14" s="3">
        <v>-3</v>
      </c>
      <c r="O14" s="17"/>
      <c r="P14" s="18">
        <f>(P10/3)</f>
        <v>9.5981977380146299E-2</v>
      </c>
      <c r="Q14" s="17" t="s">
        <v>45</v>
      </c>
      <c r="R14" s="18">
        <f>P8/3</f>
        <v>0.42711446685982174</v>
      </c>
      <c r="S14" t="s">
        <v>46</v>
      </c>
      <c r="AB14" s="5"/>
      <c r="AC14" s="5"/>
      <c r="AD14" s="5"/>
      <c r="AE14" s="5"/>
      <c r="AF14" s="5"/>
      <c r="AG14" s="5"/>
      <c r="AH14" s="5"/>
      <c r="AI14" s="5"/>
      <c r="AJ14" s="5"/>
    </row>
    <row r="15" spans="1:36" ht="17.100000000000001" thickBot="1">
      <c r="B15" s="3">
        <v>1</v>
      </c>
      <c r="C15" s="3">
        <v>0</v>
      </c>
      <c r="D15" s="3">
        <v>0</v>
      </c>
      <c r="E15" s="3">
        <v>1</v>
      </c>
      <c r="F15" s="3">
        <v>1</v>
      </c>
      <c r="G15" s="3">
        <v>0</v>
      </c>
      <c r="H15" s="3">
        <v>1</v>
      </c>
      <c r="O15" s="13" t="s">
        <v>49</v>
      </c>
      <c r="P15">
        <f>P14/R14</f>
        <v>0.22472190671932316</v>
      </c>
      <c r="AB15" s="8"/>
      <c r="AC15" s="8"/>
      <c r="AD15" s="8"/>
      <c r="AE15" s="8"/>
      <c r="AF15" s="8"/>
      <c r="AG15" s="8"/>
      <c r="AH15" s="5"/>
      <c r="AI15" s="5"/>
      <c r="AJ15" s="5"/>
    </row>
    <row r="16" spans="1:36" ht="17.100000000000001" thickBot="1">
      <c r="O16" s="13" t="s">
        <v>14</v>
      </c>
      <c r="P16">
        <f>1-_xlfn.F.DIST(P15,3,3,TRUE)</f>
        <v>0.87417238529691288</v>
      </c>
      <c r="AB16" s="5"/>
      <c r="AC16" s="5"/>
      <c r="AD16" s="5"/>
      <c r="AE16" s="5"/>
      <c r="AF16" s="5"/>
      <c r="AG16" s="5"/>
      <c r="AH16" s="5"/>
      <c r="AI16" s="5"/>
      <c r="AJ16" s="5"/>
    </row>
    <row r="17" spans="2:36" ht="15.95">
      <c r="AB17" s="6"/>
      <c r="AC17" s="6"/>
      <c r="AD17" s="6"/>
      <c r="AE17" s="6"/>
      <c r="AF17" s="6"/>
      <c r="AG17" s="6"/>
      <c r="AH17" s="6"/>
      <c r="AI17" s="6"/>
      <c r="AJ17" s="6"/>
    </row>
    <row r="18" spans="2:36" ht="15.95">
      <c r="B18" s="15" cm="1">
        <f t="array" ref="B18:E21">MMULT(_xlfn.ANCHORARRAY(B12),B2:E8)</f>
        <v>7</v>
      </c>
      <c r="C18" s="15">
        <v>0.53</v>
      </c>
      <c r="D18" s="15">
        <v>-2</v>
      </c>
      <c r="E18" s="15">
        <v>4</v>
      </c>
      <c r="F18" s="13" t="s">
        <v>59</v>
      </c>
      <c r="G18" t="s">
        <v>60</v>
      </c>
      <c r="I18">
        <f>MDETERM(_xlfn.ANCHORARRAY(B18))</f>
        <v>1.5967999999999996</v>
      </c>
      <c r="AB18" s="5"/>
      <c r="AC18" s="5"/>
      <c r="AD18" s="5"/>
      <c r="AE18" s="5"/>
      <c r="AF18" s="5"/>
      <c r="AG18" s="5"/>
      <c r="AH18" s="5"/>
      <c r="AI18" s="5"/>
      <c r="AJ18" s="5"/>
    </row>
    <row r="19" spans="2:36" ht="15.95">
      <c r="B19" s="15">
        <v>0.53</v>
      </c>
      <c r="C19" s="15">
        <v>7.4300000000000005E-2</v>
      </c>
      <c r="D19" s="15">
        <v>-1.1000000000000001</v>
      </c>
      <c r="E19" s="15">
        <v>0.47000000000000003</v>
      </c>
      <c r="AB19" s="5"/>
      <c r="AC19" s="5"/>
      <c r="AD19" s="5"/>
      <c r="AE19" s="5"/>
      <c r="AF19" s="5"/>
      <c r="AG19" s="5"/>
      <c r="AH19" s="5"/>
      <c r="AI19" s="5"/>
      <c r="AJ19" s="5"/>
    </row>
    <row r="20" spans="2:36" ht="15.95">
      <c r="B20" s="15">
        <v>-2</v>
      </c>
      <c r="C20" s="15">
        <v>-1.1000000000000001</v>
      </c>
      <c r="D20" s="15">
        <v>36</v>
      </c>
      <c r="E20" s="15">
        <v>-7</v>
      </c>
      <c r="AB20" s="5"/>
      <c r="AC20" s="5"/>
      <c r="AD20" s="5"/>
      <c r="AE20" s="5"/>
      <c r="AF20" s="5"/>
      <c r="AG20" s="5"/>
      <c r="AH20" s="5"/>
      <c r="AI20" s="5"/>
      <c r="AJ20" s="5"/>
    </row>
    <row r="21" spans="2:36" ht="17.100000000000001" thickBot="1">
      <c r="B21" s="15">
        <v>4</v>
      </c>
      <c r="C21" s="15">
        <v>0.47000000000000003</v>
      </c>
      <c r="D21" s="15">
        <v>-7</v>
      </c>
      <c r="E21" s="15">
        <v>4</v>
      </c>
      <c r="AB21" s="8"/>
      <c r="AC21" s="8"/>
      <c r="AD21" s="8"/>
      <c r="AE21" s="8"/>
      <c r="AF21" s="8"/>
      <c r="AG21" s="8"/>
      <c r="AH21" s="8"/>
      <c r="AI21" s="8"/>
      <c r="AJ21" s="8"/>
    </row>
    <row r="22" spans="2:36" ht="15.95">
      <c r="AB22" s="5"/>
      <c r="AC22" s="9"/>
      <c r="AD22" s="5"/>
      <c r="AE22" s="9"/>
      <c r="AF22" s="5"/>
      <c r="AG22" s="7"/>
      <c r="AH22" s="7"/>
      <c r="AI22" s="7"/>
      <c r="AJ22" s="7"/>
    </row>
    <row r="23" spans="2:36" ht="17.100000000000001" thickBot="1">
      <c r="I23" t="s">
        <v>81</v>
      </c>
      <c r="AB23" s="8"/>
      <c r="AC23" s="10"/>
      <c r="AD23" s="8"/>
      <c r="AE23" s="11"/>
      <c r="AF23" s="8"/>
      <c r="AG23" s="11"/>
      <c r="AH23" s="8"/>
      <c r="AI23" s="11"/>
      <c r="AJ23" s="8"/>
    </row>
    <row r="24" spans="2:36">
      <c r="B24" s="14" cm="1">
        <f t="array" ref="B24:E27">MINVERSE(_xlfn.ANCHORARRAY(B18))</f>
        <v>0.94194639278557146</v>
      </c>
      <c r="C24" s="1">
        <v>-7.0453406813627284</v>
      </c>
      <c r="D24" s="1">
        <v>-0.28062374749498992</v>
      </c>
      <c r="E24" s="1">
        <v>-0.60521042084168342</v>
      </c>
      <c r="F24" s="13" t="s">
        <v>68</v>
      </c>
      <c r="I24">
        <f>P9*B24</f>
        <v>0.40231893136514157</v>
      </c>
    </row>
    <row r="25" spans="2:36">
      <c r="B25" s="1">
        <v>-7.0453406813627275</v>
      </c>
      <c r="C25" s="14">
        <v>115.85671342685373</v>
      </c>
      <c r="D25" s="1">
        <v>2.8369238476953891</v>
      </c>
      <c r="E25" s="1">
        <v>-1.6032064128256505</v>
      </c>
      <c r="I25">
        <f>C25*P9</f>
        <v>49.484078387441784</v>
      </c>
    </row>
    <row r="26" spans="2:36">
      <c r="B26" s="1">
        <v>-0.28062374749499003</v>
      </c>
      <c r="C26" s="1">
        <v>2.8369238476953917</v>
      </c>
      <c r="D26" s="14">
        <v>0.13433116232464928</v>
      </c>
      <c r="E26" s="1">
        <v>0.18236472945891788</v>
      </c>
      <c r="I26">
        <f>D26*P9</f>
        <v>5.7374782778952749E-2</v>
      </c>
    </row>
    <row r="27" spans="2:36" ht="15.95">
      <c r="B27" s="1">
        <v>-0.60521042084168342</v>
      </c>
      <c r="C27" s="1">
        <v>-1.6032064128256496</v>
      </c>
      <c r="D27" s="1">
        <v>0.18236472945891793</v>
      </c>
      <c r="E27" s="14">
        <v>1.3627254509018036</v>
      </c>
      <c r="I27">
        <f>E27*P9</f>
        <v>0.58203975443823408</v>
      </c>
      <c r="AB27" s="5"/>
      <c r="AC27" s="5"/>
      <c r="AD27" s="5"/>
      <c r="AE27" s="5"/>
      <c r="AF27" s="5"/>
      <c r="AG27" s="5"/>
      <c r="AH27" s="5"/>
      <c r="AI27" s="5"/>
      <c r="AJ27" s="5"/>
    </row>
    <row r="28" spans="2:36" ht="17.100000000000001" thickBot="1">
      <c r="AB28" s="5"/>
      <c r="AC28" s="5"/>
      <c r="AD28" s="5"/>
      <c r="AE28" s="5"/>
      <c r="AF28" s="5"/>
      <c r="AG28" s="5"/>
      <c r="AH28" s="5"/>
      <c r="AI28" s="5"/>
      <c r="AJ28" s="5"/>
    </row>
    <row r="29" spans="2:36" ht="15.95">
      <c r="B29" s="4" cm="1">
        <f t="array" ref="B29:H32">MMULT(_xlfn.ANCHORARRAY(B24),_xlfn.ANCHORARRAY(B12))</f>
        <v>0.47407314629258479</v>
      </c>
      <c r="C29" s="4">
        <v>-4.0831663326652778E-2</v>
      </c>
      <c r="D29" s="4">
        <v>0.3102454909819643</v>
      </c>
      <c r="E29" s="4">
        <v>-0.15881763527054138</v>
      </c>
      <c r="F29" s="4">
        <v>-8.4794589178356472E-2</v>
      </c>
      <c r="G29" s="4">
        <v>0.73058617234468959</v>
      </c>
      <c r="H29" s="4">
        <v>-0.23046092184368794</v>
      </c>
      <c r="I29" s="4"/>
      <c r="J29" s="4"/>
      <c r="K29" s="4"/>
      <c r="L29" s="13" t="s">
        <v>71</v>
      </c>
      <c r="AB29" s="6"/>
      <c r="AC29" s="5"/>
      <c r="AD29" s="5"/>
      <c r="AE29" s="5"/>
      <c r="AF29" s="5"/>
      <c r="AG29" s="5"/>
      <c r="AH29" s="5"/>
      <c r="AI29" s="5"/>
    </row>
    <row r="30" spans="2:36" ht="15.95">
      <c r="B30" s="4">
        <v>-5.5736472945891729</v>
      </c>
      <c r="C30" s="4">
        <v>3.7825651302605152</v>
      </c>
      <c r="D30" s="4">
        <v>-0.21292585170341205</v>
      </c>
      <c r="E30" s="4">
        <v>3.0561122244489036</v>
      </c>
      <c r="F30" s="4">
        <v>-3.4944889779559141</v>
      </c>
      <c r="G30" s="4">
        <v>-3.5696392785571156</v>
      </c>
      <c r="H30" s="4">
        <v>6.0120240480962002</v>
      </c>
      <c r="I30" s="4"/>
      <c r="J30" s="4"/>
      <c r="K30" s="4"/>
      <c r="AB30" s="5"/>
      <c r="AC30" s="5"/>
      <c r="AD30" s="5"/>
      <c r="AE30" s="5"/>
      <c r="AF30" s="5"/>
      <c r="AG30" s="5"/>
      <c r="AH30" s="5"/>
      <c r="AI30" s="5"/>
      <c r="AJ30" s="5"/>
    </row>
    <row r="31" spans="2:36" ht="15.95">
      <c r="B31" s="4">
        <v>-0.21756012024048085</v>
      </c>
      <c r="C31" s="4">
        <v>0.17910821643286567</v>
      </c>
      <c r="D31" s="4">
        <v>1.6407815631262479E-2</v>
      </c>
      <c r="E31" s="4">
        <v>5.8617234468938045E-2</v>
      </c>
      <c r="F31" s="4">
        <v>9.2810621242484959E-2</v>
      </c>
      <c r="G31" s="4">
        <v>-0.19551603206412826</v>
      </c>
      <c r="H31" s="4">
        <v>6.6132264529058321E-2</v>
      </c>
      <c r="I31" s="4"/>
      <c r="J31" s="4"/>
      <c r="K31" s="4"/>
      <c r="AB31" s="5"/>
      <c r="AC31" s="5"/>
      <c r="AD31" s="5"/>
      <c r="AE31" s="5"/>
      <c r="AF31" s="5"/>
      <c r="AG31" s="5"/>
      <c r="AH31" s="5"/>
      <c r="AI31" s="5"/>
      <c r="AJ31" s="5"/>
    </row>
    <row r="32" spans="2:36" ht="15.95">
      <c r="B32" s="4">
        <v>5.010020040080132E-2</v>
      </c>
      <c r="C32" s="4">
        <v>-9.0180360721442532E-2</v>
      </c>
      <c r="D32" s="4">
        <v>-0.25651302605210408</v>
      </c>
      <c r="E32" s="4">
        <v>0.15230460921843703</v>
      </c>
      <c r="F32" s="4">
        <v>0.90781563126252518</v>
      </c>
      <c r="G32" s="4">
        <v>-0.65330661322645289</v>
      </c>
      <c r="H32" s="4">
        <v>-0.11022044088176353</v>
      </c>
      <c r="I32" s="4"/>
      <c r="J32" s="4"/>
      <c r="K32" s="4"/>
      <c r="AB32" s="5"/>
      <c r="AC32" s="5"/>
      <c r="AD32" s="5"/>
      <c r="AE32" s="5"/>
      <c r="AF32" s="5"/>
      <c r="AG32" s="5"/>
      <c r="AH32" s="5"/>
      <c r="AI32" s="5"/>
      <c r="AJ32" s="5"/>
    </row>
    <row r="33" spans="3:36" ht="15.95">
      <c r="AB33" s="5"/>
      <c r="AC33" s="7"/>
      <c r="AD33" s="5"/>
      <c r="AE33" s="5"/>
      <c r="AF33" s="5"/>
      <c r="AG33" s="5"/>
      <c r="AH33" s="5"/>
      <c r="AI33" s="5"/>
      <c r="AJ33" s="5"/>
    </row>
    <row r="34" spans="3:36" ht="17.100000000000001" thickBot="1">
      <c r="AB34" s="8"/>
      <c r="AC34" s="8"/>
      <c r="AD34" s="5"/>
      <c r="AE34" s="5"/>
      <c r="AF34" s="5"/>
      <c r="AG34" s="5"/>
      <c r="AH34" s="5"/>
      <c r="AI34" s="5"/>
      <c r="AJ34" s="5"/>
    </row>
    <row r="35" spans="3:36" ht="15.95">
      <c r="D35" t="s">
        <v>85</v>
      </c>
      <c r="E35" t="s">
        <v>86</v>
      </c>
      <c r="G35" t="s">
        <v>3</v>
      </c>
      <c r="H35" t="s">
        <v>86</v>
      </c>
      <c r="AB35" s="5"/>
      <c r="AC35" s="5"/>
      <c r="AD35" s="5"/>
      <c r="AE35" s="5"/>
      <c r="AF35" s="5"/>
      <c r="AG35" s="5"/>
      <c r="AH35" s="5"/>
      <c r="AI35" s="5"/>
      <c r="AJ35" s="5"/>
    </row>
    <row r="36" spans="3:36" ht="17.100000000000001" thickBot="1">
      <c r="D36">
        <v>0</v>
      </c>
      <c r="E36" s="28">
        <f>1/(1+EXP(-($P$2+$P$3*D36)))</f>
        <v>0.52118595468167261</v>
      </c>
      <c r="AB36" s="5"/>
      <c r="AC36" s="5"/>
      <c r="AD36" s="5"/>
      <c r="AE36" s="5"/>
      <c r="AF36" s="5"/>
      <c r="AG36" s="5"/>
      <c r="AH36" s="5"/>
      <c r="AI36" s="5"/>
      <c r="AJ36" s="5"/>
    </row>
    <row r="37" spans="3:36" ht="15.95">
      <c r="C37">
        <v>1</v>
      </c>
      <c r="D37">
        <f>D36+0.01</f>
        <v>0.01</v>
      </c>
      <c r="E37" s="28">
        <f t="shared" ref="E37:E61" si="6">1/(1+EXP(-($P$2+$P$3*D37)))</f>
        <v>0.52989915490517359</v>
      </c>
      <c r="G37">
        <f t="shared" ref="G37:G45" si="7">G38-1</f>
        <v>-13</v>
      </c>
      <c r="H37" s="28">
        <f t="shared" ref="H37:H46" si="8">1/(1+EXP(-($P$2+$P$4*G37)))</f>
        <v>0.78437267119359788</v>
      </c>
      <c r="AB37" s="6"/>
      <c r="AC37" s="6"/>
      <c r="AD37" s="6"/>
      <c r="AE37" s="6"/>
      <c r="AF37" s="6"/>
      <c r="AG37" s="6"/>
      <c r="AH37" s="5"/>
      <c r="AI37" s="5"/>
      <c r="AJ37" s="5"/>
    </row>
    <row r="38" spans="3:36" ht="15.95">
      <c r="C38">
        <f>+C37+1</f>
        <v>2</v>
      </c>
      <c r="D38">
        <f t="shared" ref="D38:D47" si="9">D37+0.01</f>
        <v>0.02</v>
      </c>
      <c r="E38" s="28">
        <f t="shared" si="6"/>
        <v>0.53859416848287833</v>
      </c>
      <c r="G38">
        <f t="shared" si="7"/>
        <v>-12</v>
      </c>
      <c r="H38" s="28">
        <f t="shared" si="8"/>
        <v>0.76826175902071636</v>
      </c>
      <c r="AB38" s="5"/>
      <c r="AC38" s="5"/>
      <c r="AD38" s="7"/>
      <c r="AE38" s="7"/>
      <c r="AF38" s="7"/>
      <c r="AG38" s="5"/>
      <c r="AH38" s="5"/>
      <c r="AI38" s="5"/>
      <c r="AJ38" s="5"/>
    </row>
    <row r="39" spans="3:36" ht="15.95">
      <c r="C39">
        <f t="shared" ref="C39:C61" si="10">+C38+1</f>
        <v>3</v>
      </c>
      <c r="D39">
        <f t="shared" si="9"/>
        <v>0.03</v>
      </c>
      <c r="E39" s="28">
        <f t="shared" si="6"/>
        <v>0.54726576263888793</v>
      </c>
      <c r="G39">
        <f t="shared" si="7"/>
        <v>-11</v>
      </c>
      <c r="H39" s="28">
        <f t="shared" si="8"/>
        <v>0.75132872388063532</v>
      </c>
      <c r="AB39" s="5"/>
      <c r="AC39" s="5"/>
      <c r="AD39" s="7"/>
      <c r="AE39" s="7"/>
      <c r="AF39" s="5"/>
      <c r="AG39" s="5"/>
      <c r="AH39" s="5"/>
      <c r="AI39" s="5"/>
      <c r="AJ39" s="5"/>
    </row>
    <row r="40" spans="3:36" ht="17.100000000000001" thickBot="1">
      <c r="C40">
        <f t="shared" si="10"/>
        <v>4</v>
      </c>
      <c r="D40">
        <f t="shared" si="9"/>
        <v>0.04</v>
      </c>
      <c r="E40" s="28">
        <f t="shared" si="6"/>
        <v>0.5559087612461826</v>
      </c>
      <c r="G40">
        <f t="shared" si="7"/>
        <v>-10</v>
      </c>
      <c r="H40" s="28">
        <f t="shared" si="8"/>
        <v>0.73358745691631355</v>
      </c>
      <c r="AB40" s="8"/>
      <c r="AC40" s="8"/>
      <c r="AD40" s="8"/>
      <c r="AE40" s="8"/>
      <c r="AF40" s="8"/>
      <c r="AG40" s="8"/>
      <c r="AH40" s="5"/>
      <c r="AI40" s="5"/>
      <c r="AJ40" s="5"/>
    </row>
    <row r="41" spans="3:36" ht="17.100000000000001" thickBot="1">
      <c r="C41">
        <f t="shared" si="10"/>
        <v>5</v>
      </c>
      <c r="D41">
        <f t="shared" si="9"/>
        <v>0.05</v>
      </c>
      <c r="E41" s="28">
        <f t="shared" si="6"/>
        <v>0.56451805703559021</v>
      </c>
      <c r="G41">
        <f t="shared" si="7"/>
        <v>-9</v>
      </c>
      <c r="H41" s="28">
        <f t="shared" si="8"/>
        <v>0.715060480214737</v>
      </c>
      <c r="AB41" s="5"/>
      <c r="AC41" s="5"/>
      <c r="AD41" s="5"/>
      <c r="AE41" s="5"/>
      <c r="AF41" s="5"/>
      <c r="AG41" s="5"/>
      <c r="AH41" s="5"/>
      <c r="AI41" s="5"/>
      <c r="AJ41" s="5"/>
    </row>
    <row r="42" spans="3:36" ht="15.95">
      <c r="C42">
        <f t="shared" si="10"/>
        <v>6</v>
      </c>
      <c r="D42">
        <f t="shared" si="9"/>
        <v>6.0000000000000005E-2</v>
      </c>
      <c r="E42" s="28">
        <f t="shared" si="6"/>
        <v>0.57308862345434952</v>
      </c>
      <c r="G42">
        <f t="shared" si="7"/>
        <v>-8</v>
      </c>
      <c r="H42" s="28">
        <f t="shared" si="8"/>
        <v>0.69577939982768211</v>
      </c>
      <c r="AB42" s="6"/>
      <c r="AC42" s="6"/>
      <c r="AD42" s="6"/>
      <c r="AE42" s="6"/>
      <c r="AF42" s="6"/>
      <c r="AG42" s="6"/>
      <c r="AH42" s="6"/>
      <c r="AI42" s="12"/>
      <c r="AJ42" s="12"/>
    </row>
    <row r="43" spans="3:36" ht="15.95">
      <c r="C43">
        <f t="shared" si="10"/>
        <v>7</v>
      </c>
      <c r="D43">
        <f t="shared" si="9"/>
        <v>7.0000000000000007E-2</v>
      </c>
      <c r="E43" s="28">
        <f t="shared" si="6"/>
        <v>0.58161552611695566</v>
      </c>
      <c r="G43">
        <f t="shared" si="7"/>
        <v>-7</v>
      </c>
      <c r="H43" s="28">
        <f t="shared" si="8"/>
        <v>0.67578518310702862</v>
      </c>
      <c r="AB43" s="5"/>
      <c r="AC43" s="7"/>
      <c r="AD43" s="7"/>
      <c r="AE43" s="7"/>
      <c r="AF43" s="5"/>
      <c r="AG43" s="7"/>
      <c r="AH43" s="7"/>
      <c r="AI43" s="7"/>
      <c r="AJ43" s="7"/>
    </row>
    <row r="44" spans="3:36" ht="15.95">
      <c r="C44">
        <f t="shared" si="10"/>
        <v>8</v>
      </c>
      <c r="D44">
        <f t="shared" si="9"/>
        <v>0.08</v>
      </c>
      <c r="E44" s="28">
        <f t="shared" si="6"/>
        <v>0.59009393379448571</v>
      </c>
      <c r="G44">
        <f t="shared" si="7"/>
        <v>-6</v>
      </c>
      <c r="H44" s="28">
        <f t="shared" si="8"/>
        <v>0.6551282290844338</v>
      </c>
      <c r="AB44" s="5"/>
      <c r="AC44" s="5"/>
      <c r="AD44" s="5"/>
      <c r="AE44" s="5"/>
      <c r="AF44" s="5"/>
      <c r="AG44" s="7"/>
      <c r="AH44" s="7"/>
      <c r="AI44" s="7"/>
      <c r="AJ44" s="7"/>
    </row>
    <row r="45" spans="3:36" ht="15.95">
      <c r="C45">
        <f t="shared" si="10"/>
        <v>9</v>
      </c>
      <c r="D45">
        <f t="shared" si="9"/>
        <v>0.09</v>
      </c>
      <c r="E45" s="28">
        <f t="shared" si="6"/>
        <v>0.59851912889252235</v>
      </c>
      <c r="G45">
        <f t="shared" si="7"/>
        <v>-5</v>
      </c>
      <c r="H45" s="28">
        <f t="shared" si="8"/>
        <v>0.63386820623538109</v>
      </c>
      <c r="AB45" s="5"/>
      <c r="AC45" s="9"/>
      <c r="AD45" s="5"/>
      <c r="AE45" s="9"/>
      <c r="AF45" s="5"/>
      <c r="AG45" s="7"/>
      <c r="AH45" s="7"/>
      <c r="AI45" s="7"/>
      <c r="AJ45" s="7"/>
    </row>
    <row r="46" spans="3:36" ht="17.100000000000001" thickBot="1">
      <c r="C46">
        <f t="shared" si="10"/>
        <v>10</v>
      </c>
      <c r="D46">
        <f>+D45+0.01</f>
        <v>9.9999999999999992E-2</v>
      </c>
      <c r="E46" s="28">
        <f t="shared" si="6"/>
        <v>0.6068865173720922</v>
      </c>
      <c r="G46">
        <f>G47-1</f>
        <v>-4</v>
      </c>
      <c r="H46" s="28">
        <f t="shared" si="8"/>
        <v>0.61207363996984177</v>
      </c>
      <c r="AB46" s="8"/>
      <c r="AC46" s="10"/>
      <c r="AD46" s="8"/>
      <c r="AE46" s="11"/>
      <c r="AF46" s="8"/>
      <c r="AG46" s="11"/>
      <c r="AH46" s="8"/>
      <c r="AI46" s="11"/>
      <c r="AJ46" s="11"/>
    </row>
    <row r="47" spans="3:36" ht="15.95">
      <c r="C47">
        <f t="shared" si="10"/>
        <v>11</v>
      </c>
      <c r="D47">
        <f t="shared" ref="D47:D61" si="11">+D46+0.01</f>
        <v>0.10999999999999999</v>
      </c>
      <c r="E47" s="28">
        <f t="shared" si="6"/>
        <v>0.615191638072634</v>
      </c>
      <c r="G47">
        <v>-3</v>
      </c>
      <c r="H47" s="28">
        <f>1/(1+EXP(-($P$2+$P$4*G47)))</f>
        <v>0.58982124233307287</v>
      </c>
      <c r="AB47" s="5"/>
      <c r="AC47" s="5"/>
      <c r="AD47" s="5"/>
      <c r="AE47" s="5"/>
      <c r="AF47" s="5"/>
      <c r="AG47" s="5"/>
      <c r="AH47" s="5"/>
      <c r="AI47" s="5"/>
      <c r="AJ47" s="5"/>
    </row>
    <row r="48" spans="3:36" ht="15.95">
      <c r="C48">
        <f t="shared" si="10"/>
        <v>12</v>
      </c>
      <c r="D48">
        <f t="shared" si="11"/>
        <v>0.11999999999999998</v>
      </c>
      <c r="E48" s="28">
        <f t="shared" si="6"/>
        <v>0.62343017140088386</v>
      </c>
      <c r="G48">
        <f>G47+1</f>
        <v>-2</v>
      </c>
      <c r="H48" s="28">
        <f t="shared" ref="H48:H56" si="12">1/(1+EXP(-($P$2+$P$4*G48)))</f>
        <v>0.56719498818303404</v>
      </c>
      <c r="AB48" s="5"/>
      <c r="AC48" s="5"/>
      <c r="AD48" s="5"/>
      <c r="AE48" s="5"/>
      <c r="AF48" s="5"/>
      <c r="AG48" s="5"/>
      <c r="AH48" s="5"/>
      <c r="AI48" s="5"/>
      <c r="AJ48" s="5"/>
    </row>
    <row r="49" spans="3:36" ht="15.95">
      <c r="C49">
        <f t="shared" si="10"/>
        <v>13</v>
      </c>
      <c r="D49">
        <f t="shared" si="11"/>
        <v>0.12999999999999998</v>
      </c>
      <c r="E49" s="28">
        <f t="shared" si="6"/>
        <v>0.63159794735461772</v>
      </c>
      <c r="G49">
        <f t="shared" ref="G49:G56" si="13">G48+1</f>
        <v>-1</v>
      </c>
      <c r="H49" s="28">
        <f t="shared" si="12"/>
        <v>0.54428495481047168</v>
      </c>
      <c r="AB49" s="5"/>
      <c r="AC49" s="5"/>
      <c r="AD49" s="5"/>
      <c r="AE49" s="5"/>
      <c r="AF49" s="5"/>
      <c r="AG49" s="5"/>
      <c r="AH49" s="5"/>
      <c r="AI49" s="5"/>
      <c r="AJ49" s="5"/>
    </row>
    <row r="50" spans="3:36">
      <c r="C50">
        <f t="shared" si="10"/>
        <v>14</v>
      </c>
      <c r="D50">
        <f t="shared" si="11"/>
        <v>0.13999999999999999</v>
      </c>
      <c r="E50" s="28">
        <f t="shared" si="6"/>
        <v>0.63969095285539246</v>
      </c>
      <c r="G50">
        <f t="shared" si="13"/>
        <v>0</v>
      </c>
      <c r="H50" s="28">
        <f t="shared" si="12"/>
        <v>0.52118595468167261</v>
      </c>
    </row>
    <row r="51" spans="3:36">
      <c r="C51">
        <f t="shared" si="10"/>
        <v>15</v>
      </c>
      <c r="D51">
        <f t="shared" si="11"/>
        <v>0.15</v>
      </c>
      <c r="E51" s="28">
        <f t="shared" si="6"/>
        <v>0.64770533836970434</v>
      </c>
      <c r="G51">
        <f t="shared" si="13"/>
        <v>1</v>
      </c>
      <c r="H51" s="28">
        <f t="shared" si="12"/>
        <v>0.49799600271482236</v>
      </c>
    </row>
    <row r="52" spans="3:36">
      <c r="C52">
        <f t="shared" si="10"/>
        <v>16</v>
      </c>
      <c r="D52">
        <f t="shared" si="11"/>
        <v>0.16</v>
      </c>
      <c r="E52" s="28">
        <f t="shared" si="6"/>
        <v>0.65563742380327472</v>
      </c>
      <c r="G52">
        <f t="shared" si="13"/>
        <v>2</v>
      </c>
      <c r="H52" s="28">
        <f t="shared" si="12"/>
        <v>0.47481466926126203</v>
      </c>
    </row>
    <row r="53" spans="3:36">
      <c r="C53">
        <f t="shared" si="10"/>
        <v>17</v>
      </c>
      <c r="D53">
        <f t="shared" si="11"/>
        <v>0.17</v>
      </c>
      <c r="E53" s="28">
        <f t="shared" si="6"/>
        <v>0.66348370365843212</v>
      </c>
      <c r="G53">
        <f t="shared" si="13"/>
        <v>3</v>
      </c>
      <c r="H53" s="28">
        <f t="shared" si="12"/>
        <v>0.45174137688913557</v>
      </c>
    </row>
    <row r="54" spans="3:36">
      <c r="C54">
        <f t="shared" si="10"/>
        <v>18</v>
      </c>
      <c r="D54">
        <f t="shared" si="11"/>
        <v>0.18000000000000002</v>
      </c>
      <c r="E54" s="28">
        <f t="shared" si="6"/>
        <v>0.67124085144972223</v>
      </c>
      <c r="G54">
        <f t="shared" si="13"/>
        <v>4</v>
      </c>
      <c r="H54" s="28">
        <f t="shared" si="12"/>
        <v>0.4288737025255191</v>
      </c>
    </row>
    <row r="55" spans="3:36">
      <c r="C55">
        <f t="shared" si="10"/>
        <v>19</v>
      </c>
      <c r="D55">
        <f t="shared" si="11"/>
        <v>0.19000000000000003</v>
      </c>
      <c r="E55" s="28">
        <f t="shared" si="6"/>
        <v>0.67890572337790078</v>
      </c>
      <c r="G55">
        <f t="shared" si="13"/>
        <v>5</v>
      </c>
      <c r="H55" s="28">
        <f t="shared" si="12"/>
        <v>0.40630574618186538</v>
      </c>
    </row>
    <row r="56" spans="3:36">
      <c r="C56">
        <f t="shared" si="10"/>
        <v>20</v>
      </c>
      <c r="D56">
        <f t="shared" si="11"/>
        <v>0.20000000000000004</v>
      </c>
      <c r="E56" s="28">
        <f t="shared" si="6"/>
        <v>0.68647536126729158</v>
      </c>
      <c r="G56">
        <f t="shared" si="13"/>
        <v>6</v>
      </c>
      <c r="H56" s="28">
        <f t="shared" si="12"/>
        <v>0.38412662339750286</v>
      </c>
    </row>
    <row r="57" spans="3:36">
      <c r="C57">
        <f t="shared" si="10"/>
        <v>21</v>
      </c>
      <c r="D57">
        <f t="shared" si="11"/>
        <v>0.21000000000000005</v>
      </c>
      <c r="E57" s="28">
        <f t="shared" si="6"/>
        <v>0.69394699477609312</v>
      </c>
    </row>
    <row r="58" spans="3:36">
      <c r="C58">
        <f t="shared" si="10"/>
        <v>22</v>
      </c>
      <c r="D58">
        <f t="shared" si="11"/>
        <v>0.22000000000000006</v>
      </c>
      <c r="E58" s="28">
        <f t="shared" si="6"/>
        <v>0.70131804289354716</v>
      </c>
    </row>
    <row r="59" spans="3:36">
      <c r="C59">
        <f t="shared" si="10"/>
        <v>23</v>
      </c>
      <c r="D59">
        <f t="shared" si="11"/>
        <v>0.23000000000000007</v>
      </c>
      <c r="E59" s="28">
        <f t="shared" si="6"/>
        <v>0.70858611474190503</v>
      </c>
    </row>
    <row r="60" spans="3:36">
      <c r="C60">
        <f t="shared" si="10"/>
        <v>24</v>
      </c>
      <c r="D60">
        <f t="shared" si="11"/>
        <v>0.24000000000000007</v>
      </c>
      <c r="E60" s="28">
        <f t="shared" si="6"/>
        <v>0.71574900970483302</v>
      </c>
    </row>
    <row r="61" spans="3:36">
      <c r="C61">
        <f t="shared" si="10"/>
        <v>25</v>
      </c>
      <c r="D61">
        <f>+D59+0.01</f>
        <v>0.24000000000000007</v>
      </c>
      <c r="E61" s="28">
        <f t="shared" si="6"/>
        <v>0.71574900970483302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D4DEB03926904986B4024CEE55AB49" ma:contentTypeVersion="3" ma:contentTypeDescription="Create a new document." ma:contentTypeScope="" ma:versionID="60bc994950872dcd33282c62e926c422">
  <xsd:schema xmlns:xsd="http://www.w3.org/2001/XMLSchema" xmlns:xs="http://www.w3.org/2001/XMLSchema" xmlns:p="http://schemas.microsoft.com/office/2006/metadata/properties" xmlns:ns2="c6537898-0840-43d5-b78c-00bc1e9f90a1" targetNamespace="http://schemas.microsoft.com/office/2006/metadata/properties" ma:root="true" ma:fieldsID="726503d28f6e042fec09083f74d1a52e" ns2:_="">
    <xsd:import namespace="c6537898-0840-43d5-b78c-00bc1e9f90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537898-0840-43d5-b78c-00bc1e9f90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A5BE95-9320-47C2-82DD-57CEE65AFF7A}"/>
</file>

<file path=customXml/itemProps2.xml><?xml version="1.0" encoding="utf-8"?>
<ds:datastoreItem xmlns:ds="http://schemas.openxmlformats.org/officeDocument/2006/customXml" ds:itemID="{7956D4CD-0CF6-4266-A4B4-C29AF73AD2E5}"/>
</file>

<file path=customXml/itemProps3.xml><?xml version="1.0" encoding="utf-8"?>
<ds:datastoreItem xmlns:ds="http://schemas.openxmlformats.org/officeDocument/2006/customXml" ds:itemID="{4286A335-7154-479A-A009-8DA16D10D9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Manuel Andres Martinez Patiño</cp:lastModifiedBy>
  <cp:revision/>
  <dcterms:created xsi:type="dcterms:W3CDTF">2021-09-15T13:15:43Z</dcterms:created>
  <dcterms:modified xsi:type="dcterms:W3CDTF">2026-03-16T13:46:46Z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0x010100FCD4DEB03926904986B4024CEE55AB49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